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I Log" sheetId="1" state="visible" r:id="rId1"/>
    <sheet name="Sta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0&quot;%&quot;"/>
    <numFmt numFmtId="166" formatCode="0.0#"/>
    <numFmt numFmtId="167" formatCode="yyyy-mm-dd h:mm:ss"/>
    <numFmt numFmtId="168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FFFFFF"/>
      <sz val="10"/>
    </font>
    <font>
      <name val="Arial"/>
      <i val="1"/>
      <color rgb="006B7280"/>
      <sz val="8"/>
    </font>
    <font>
      <name val="Arial"/>
      <color rgb="00111827"/>
      <sz val="10"/>
    </font>
    <font>
      <name val="Arial"/>
      <b val="1"/>
      <i val="1"/>
      <color rgb="00FFFFFF"/>
      <sz val="10"/>
    </font>
    <font>
      <name val="Arial"/>
      <i val="1"/>
      <color rgb="00374151"/>
      <sz val="10"/>
    </font>
    <font>
      <name val="Arial"/>
      <b val="1"/>
      <color rgb="00111827"/>
      <sz val="10"/>
    </font>
    <font>
      <name val="Arial"/>
      <b val="1"/>
      <i val="1"/>
      <color rgb="00111827"/>
      <sz val="10"/>
    </font>
    <font>
      <name val="Arial"/>
      <b val="1"/>
      <color rgb="00111827"/>
      <sz val="14"/>
    </font>
    <font>
      <name val="Arial"/>
      <i val="1"/>
      <color rgb="004B5563"/>
      <sz val="9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111827"/>
      <sz val="16"/>
    </font>
  </fonts>
  <fills count="18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D4ED8"/>
        <bgColor rgb="001D4ED8"/>
      </patternFill>
    </fill>
    <fill>
      <patternFill patternType="solid">
        <fgColor rgb="006D28D9"/>
        <bgColor rgb="006D28D9"/>
      </patternFill>
    </fill>
    <fill>
      <patternFill patternType="solid">
        <fgColor rgb="00047857"/>
        <bgColor rgb="00047857"/>
      </patternFill>
    </fill>
    <fill>
      <patternFill patternType="solid">
        <fgColor rgb="00B91C1C"/>
        <bgColor rgb="00B91C1C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E5E7EB"/>
        <bgColor rgb="00E5E7EB"/>
      </patternFill>
    </fill>
  </fills>
  <borders count="7">
    <border>
      <left/>
      <right/>
      <top/>
      <bottom/>
      <diagonal/>
    </border>
    <border>
      <left style="medium">
        <color rgb="006B7280"/>
      </left>
      <right style="thin">
        <color rgb="00D1D5DB"/>
      </right>
      <bottom style="thin">
        <color rgb="00D1D5DB"/>
      </bottom>
    </border>
    <border>
      <left style="medium">
        <color rgb="006B7280"/>
      </left>
      <bottom style="thin">
        <color rgb="009CA3AF"/>
      </bottom>
    </border>
    <border>
      <left style="medium">
        <color rgb="006B7280"/>
      </left>
    </border>
    <border>
      <left style="thin">
        <color rgb="00D1D5DB"/>
      </left>
      <right style="thin">
        <color rgb="00D1D5DB"/>
      </right>
      <bottom style="thin">
        <color rgb="00D1D5DB"/>
      </bottom>
    </border>
    <border>
      <bottom style="thin">
        <color rgb="009CA3AF"/>
      </bottom>
    </border>
    <border>
      <bottom style="thin">
        <color rgb="00D1D5D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  <xf numFmtId="0" fontId="1" fillId="8" borderId="1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4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8" fillId="13" borderId="4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4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164" fontId="4" fillId="0" borderId="3" pivotButton="0" quotePrefix="0" xfId="0"/>
    <xf numFmtId="0" fontId="6" fillId="10" borderId="0" pivotButton="0" quotePrefix="0" xfId="0"/>
    <xf numFmtId="0" fontId="4" fillId="0" borderId="0" pivotButton="0" quotePrefix="0" xfId="0"/>
    <xf numFmtId="0" fontId="4" fillId="0" borderId="3" pivotButton="0" quotePrefix="0" xfId="0"/>
    <xf numFmtId="165" fontId="4" fillId="0" borderId="0" pivotButton="0" quotePrefix="0" xfId="0"/>
    <xf numFmtId="166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7" fillId="16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1" fillId="0" borderId="0" pivotButton="0" quotePrefix="0" xfId="0"/>
    <xf numFmtId="0" fontId="4" fillId="0" borderId="0" applyAlignment="1" pivotButton="0" quotePrefix="0" xfId="0">
      <alignment horizontal="right"/>
    </xf>
    <xf numFmtId="0" fontId="12" fillId="5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/>
    </xf>
    <xf numFmtId="0" fontId="7" fillId="13" borderId="6" applyAlignment="1" pivotButton="0" quotePrefix="0" xfId="0">
      <alignment horizontal="left" vertical="center" wrapText="1"/>
    </xf>
    <xf numFmtId="0" fontId="7" fillId="13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9" fontId="4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1" fontId="7" fillId="0" borderId="6" applyAlignment="1" pivotButton="0" quotePrefix="0" xfId="0">
      <alignment horizontal="center" vertical="center" wrapText="1"/>
    </xf>
    <xf numFmtId="1" fontId="4" fillId="0" borderId="6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indent="1"/>
    </xf>
    <xf numFmtId="0" fontId="7" fillId="12" borderId="6" applyAlignment="1" pivotButton="0" quotePrefix="0" xfId="0">
      <alignment horizontal="left" vertical="center" wrapText="1"/>
    </xf>
    <xf numFmtId="0" fontId="7" fillId="12" borderId="6" applyAlignment="1" pivotButton="0" quotePrefix="0" xfId="0">
      <alignment horizontal="center" vertical="center" wrapText="1"/>
    </xf>
    <xf numFmtId="165" fontId="4" fillId="0" borderId="6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indent="1"/>
    </xf>
    <xf numFmtId="0" fontId="7" fillId="11" borderId="6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indent="1"/>
    </xf>
    <xf numFmtId="0" fontId="7" fillId="17" borderId="6" applyAlignment="1" pivotButton="0" quotePrefix="0" xfId="0">
      <alignment horizontal="left" vertical="center" wrapText="1"/>
    </xf>
    <xf numFmtId="0" fontId="7" fillId="17" borderId="6" applyAlignment="1" pivotButton="0" quotePrefix="0" xfId="0">
      <alignment horizontal="center" vertical="center" wrapText="1"/>
    </xf>
    <xf numFmtId="168" fontId="4" fillId="0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indent="1"/>
    </xf>
    <xf numFmtId="0" fontId="7" fillId="14" borderId="6" applyAlignment="1" pivotButton="0" quotePrefix="0" xfId="0">
      <alignment horizontal="left" vertical="center" wrapText="1"/>
    </xf>
    <xf numFmtId="0" fontId="7" fillId="14" borderId="6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0" fontId="7" fillId="15" borderId="6" applyAlignment="1" pivotButton="0" quotePrefix="0" xfId="0">
      <alignment horizontal="left" vertical="center" wrapText="1"/>
    </xf>
    <xf numFmtId="0" fontId="7" fillId="15" borderId="6" applyAlignment="1" pivotButton="0" quotePrefix="0" xfId="0">
      <alignment horizontal="center" vertical="center" wrapText="1"/>
    </xf>
    <xf numFmtId="2" fontId="4" fillId="0" borderId="6" applyAlignment="1" pivotButton="0" quotePrefix="0" xfId="0">
      <alignment horizontal="center" vertical="center" wrapText="1"/>
    </xf>
    <xf numFmtId="9" fontId="7" fillId="0" borderId="6" applyAlignment="1" pivotButton="0" quotePrefix="0" xfId="0">
      <alignment horizontal="center" vertical="center" wrapText="1"/>
    </xf>
    <xf numFmtId="2" fontId="7" fillId="0" borderId="6" applyAlignment="1" pivotButton="0" quotePrefix="0" xfId="0">
      <alignment horizontal="center" vertical="center" wrapText="1"/>
    </xf>
    <xf numFmtId="0" fontId="13" fillId="0" borderId="0" pivotButton="0" quotePrefix="0" xfId="0"/>
    <xf numFmtId="0" fontId="12" fillId="3" borderId="0" applyAlignment="1" pivotButton="0" quotePrefix="0" xfId="0">
      <alignment vertical="center" indent="1"/>
    </xf>
    <xf numFmtId="0" fontId="7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7" fillId="17" borderId="6" applyAlignment="1" pivotButton="0" quotePrefix="0" xfId="0">
      <alignment horizontal="left" vertical="top" wrapText="1"/>
    </xf>
    <xf numFmtId="0" fontId="4" fillId="10" borderId="6" applyAlignment="1" pivotButton="0" quotePrefix="0" xfId="0">
      <alignment horizontal="left" vertical="top" wrapText="1"/>
    </xf>
    <xf numFmtId="0" fontId="7" fillId="11" borderId="6" applyAlignment="1" pivotButton="0" quotePrefix="0" xfId="0">
      <alignment horizontal="left" vertical="top" wrapText="1"/>
    </xf>
    <xf numFmtId="0" fontId="7" fillId="12" borderId="6" applyAlignment="1" pivotButton="0" quotePrefix="0" xfId="0">
      <alignment horizontal="left" vertical="top" wrapText="1"/>
    </xf>
    <xf numFmtId="0" fontId="7" fillId="13" borderId="6" applyAlignment="1" pivotButton="0" quotePrefix="0" xfId="0">
      <alignment horizontal="left" vertical="top" wrapText="1"/>
    </xf>
    <xf numFmtId="0" fontId="7" fillId="14" borderId="6" applyAlignment="1" pivotButton="0" quotePrefix="0" xfId="0">
      <alignment horizontal="left" vertical="top" wrapText="1"/>
    </xf>
    <xf numFmtId="0" fontId="7" fillId="15" borderId="6" applyAlignment="1" pivotButton="0" quotePrefix="0" xfId="0">
      <alignment horizontal="left" vertical="top" wrapText="1"/>
    </xf>
    <xf numFmtId="0" fontId="12" fillId="7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</cellXfs>
  <cellStyles count="1">
    <cellStyle name="Normal" xfId="0" builtinId="0" hidden="0"/>
  </cellStyles>
  <dxfs count="6">
    <dxf>
      <fill>
        <patternFill patternType="solid">
          <fgColor rgb="00BBF7D0"/>
          <bgColor rgb="00BBF7D0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FFEDD5"/>
          <bgColor rgb="00FFEDD5"/>
        </patternFill>
      </fill>
    </dxf>
    <dxf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CPI template</author>
  </authors>
  <commentList>
    <comment ref="A2" authorId="0" shapeId="0">
      <text>
        <t>CPI Release Date
What: Day the CPI number came out (8:30 New York time).
How: Type the date, e.g. 12 Aug 2026.</t>
      </text>
    </comment>
    <comment ref="B2" authorId="0" shapeId="0">
      <text>
        <t>Day
What: Weekday of the release.
How: Nothing - fills itself. (Old rows you paste keep the day you typed.)</t>
      </text>
    </comment>
    <comment ref="C2" authorId="0" shapeId="0">
      <text>
        <t>Wick
What: Direction of the first spike when the number hits (the quick move AGAINST the main move).
How: ▼ Up / Down, or No Wick if price went straight in the main direction.</t>
      </text>
    </comment>
    <comment ref="D2" authorId="0" shapeId="0">
      <text>
        <t>Wick pts
What: Size of that first spike in points.
How: Number. Leave empty if No Wick.</t>
      </text>
    </comment>
    <comment ref="E2" authorId="0" shapeId="0">
      <text>
        <t>Main Move
What: Direction price really went after the wick.
How: ▼ Up / Down. Most other columns are read relative to this.</t>
      </text>
    </comment>
    <comment ref="F2" authorId="0" shapeId="0">
      <text>
        <t>15sec move
What: How far the main move went in the first 15 seconds (points) - keep your usual method.
How: Number only. If nothing changed, type the same number again instead of 'Same' (text can't be averaged).</t>
      </text>
    </comment>
    <comment ref="G2" authorId="0" shapeId="0">
      <text>
        <t>30sec move
What: Same, for the first 30 seconds.
How: Number only (no 'Same'). A move the other way is captured by 'Deepest pullback %'.</t>
      </text>
    </comment>
    <comment ref="H2" authorId="0" shapeId="0">
      <text>
        <t>1min move
What: Same, for the first minute.
How: Number only (no 'Same').</t>
      </text>
    </comment>
    <comment ref="I2" authorId="0" shapeId="0">
      <text>
        <t>Straddle
What: Result of your straddle order.
How: ▼ TP / SL / BE / N/A.</t>
      </text>
    </comment>
    <comment ref="J2" authorId="0" shapeId="0">
      <text>
        <t>Scam Wick (15 sec before)
What: Size of the fake move in the 15 seconds before the release (points).
How: Number.</t>
      </text>
    </comment>
    <comment ref="K2" authorId="0" shapeId="0">
      <text>
        <t>Notes
What: Anything unusual: delayed release, FOMC week, other news at 8:30, crazy spread...
How: Free text.</t>
      </text>
    </comment>
    <comment ref="L2" authorId="0" shapeId="0">
      <text>
        <t>CPI vs forecast
What: Was CPI hotter or cooler than expected? Compare CPI m/m and Core CPI m/m, actual vs forecast (ForexFactory history).
How: ▼ Hotter = both higher, or one higher + one equal · Cooler = both lower, or one lower + one equal · In line = both equal · Mixed = one higher, one lower.</t>
      </text>
    </comment>
    <comment ref="M2" authorId="0" shapeId="0">
      <text>
        <t>Move vs data (auto)
What: Did NQ move the 'logical' way? Hot CPI usually = NQ down, cool CPI = NQ up.
How: Nothing - auto: With data / Against data / Neutral data (in line or mixed).</t>
      </text>
    </comment>
    <comment ref="N2" authorId="0" shapeId="0">
      <text>
        <t>1m candle close
What: Where the 8:30 one-minute candle closed inside its own range (wicks included).
How: ▼ Split the candle high-to-low into 3 equal parts: Top / Middle / Bottom third.</t>
      </text>
    </comment>
    <comment ref="O2" authorId="0" shapeId="0">
      <text>
        <t>5m candle close
What: Where the 5-minute candle 8:30-8:34 closed inside its range.
How: ▼ Top / Middle / Bottom third.</t>
      </text>
    </comment>
    <comment ref="P2" authorId="0" shapeId="0">
      <text>
        <t>15m candle close
What: Where the 15-minute candle 8:30-8:44 closed inside its range.
How: ▼ Top / Middle / Bottom third.</t>
      </text>
    </comment>
    <comment ref="Q2" authorId="0" shapeId="0">
      <text>
        <t>1-min HIGH taken (BSL) – when?
What: When price first traded above the HIGH of the 8:30 1-min candle (buy-side liquidity).
How: ▼ Time window in NY time. 'Not by 16:00' if it never happened that day.</t>
      </text>
    </comment>
    <comment ref="R2" authorId="0" shapeId="0">
      <text>
        <t>1-min LOW taken (SSL) – when?
What: When price first traded below the LOW of the 8:30 1-min candle (sell-side liquidity).
How: ▼ Time window in NY time. 'Not by 16:00' if it never happened that day.</t>
      </text>
    </comment>
    <comment ref="S2" authorId="0" shapeId="0">
      <text>
        <t>Deepest pullback %
What: How far price came back from the 1-min main-side extreme toward the 8:30 open, BEFORE it broke that extreme (stop checking at 8:45). 0 = no pullback · 50 = half-way · 62-79 = OTE · 100 = back at the 8:30 open · 120 = 20% past the open.
How: Number only: 62, not 62%. Fib with 0 on the 1-min main-side extreme and 100 on the 8:30 open.</t>
      </text>
    </comment>
    <comment ref="T2" authorId="0" shapeId="0">
      <text>
        <t>Back to 8:30 open – when?
What: First time price traded back at the 8:30 open after the main move started.
How: ▼ Time window in NY time. 'Not by 16:00' if it never came back.</t>
      </text>
    </comment>
    <comment ref="U2" authorId="0" shapeId="0">
      <text>
        <t>At the open, price…
What: What price did once it came back to the 8:30 open - does it just grab the liquidity there and keep going?
How: ▼ Swept &amp; resumed = turned and made a new high/low in the main direction before taking the 1-min wick side · Broke through = took the 1-min wick side first · Chopped around = neither by 16:00 · Never came back.</t>
      </text>
    </comment>
    <comment ref="V2" authorId="0" shapeId="0">
      <text>
        <t>Outcome 8:31–8:45 (auto)
What: What the main move did after the first minute.
How: Nothing - auto from Main Move, Deepest pullback % and the main-side 'taken – when': Back to open = pullback reached 100 · Continued = main side taken by 8:45 (1-5 or 5-15 min) · Partial retrace = not taken by 8:45, pullback 50-99 · Stalled / chop = not taken by 8:45, pullback under 50.</t>
      </text>
    </comment>
    <comment ref="W2" authorId="0" shapeId="0">
      <text>
        <t>First side taken (auto)
What: Which end of the 1-min candle got taken first, and whether that was the main-move side or the wick side.
How: Nothing - auto from the two 'taken – when' columns.</t>
      </text>
    </comment>
    <comment ref="X2" authorId="0" shapeId="0">
      <text>
        <t>Daily bias (before 8:30)
What: Your higher-timeframe bias for the day, decided BEFORE you replay the release.
How: ▼ Bullish / Bearish / No bias.</t>
      </text>
    </comment>
    <comment ref="Y2" authorId="0" shapeId="0">
      <text>
        <t>8:30 open vs Midnight open
What: Is the 8:30 open above the 00:00 New York opening price (premium) or below it (discount)?
How: ▼ Above (premium) / Below (discount).</t>
      </text>
    </comment>
    <comment ref="Z2" authorId="0" shapeId="0">
      <text>
        <t>Liquidity taken by wick
What: Biggest liquidity level the first spike (wick) took.
How: ▼ The biggest one taken: Prev week &gt; Prev day &gt; London &gt; Asia &gt; Pre-news &gt; None.</t>
      </text>
    </comment>
    <comment ref="AA2" authorId="0" shapeId="0">
      <text>
        <t>Liquidity taken by main move (by 8:45)
What: Biggest liquidity level the main move took by 8:45.
How: ▼ The biggest one taken: Prev week &gt; Prev day &gt; London &gt; Asia &gt; Pre-news &gt; None.</t>
      </text>
    </comment>
    <comment ref="AB2" authorId="0" shapeId="0">
      <text>
        <t>HTF PD array at extreme (optional)
What: Did the main move's extreme (by 8:45) tap a 15m / 1H / 4H PD array?
How: ▼ No / FVG / Order block / Breaker / Other.</t>
      </text>
    </comment>
    <comment ref="AC2" authorId="0" shapeId="0">
      <text>
        <t>1m FVG from main move
What: The first 1m fair value gap the main move left - what happened the first time price came back to it?
How: ▼ No FVG · Never came back (by 16:00) · Came back &amp; held (no 1m close beyond its far edge) · Came back &amp; failed (IFVG = a 1m candle closed beyond its far edge).</t>
      </text>
    </comment>
    <comment ref="AD2" authorId="0" shapeId="0">
      <text>
        <t>SMT with ES (optional)
What: At the main-move extreme, did NQ make a new high/low while ES didn't (or the other way round)?
How: ▼ Yes / No / Not checked.</t>
      </text>
    </comment>
    <comment ref="AE2" authorId="0" shapeId="0">
      <text>
        <t>Setup
What: Which of your setups triggered, using fixed rules (see SETUPS TO TEST).
How: ▼ None / A Continuation / B Reversal / C Open sweep / D 9:30-11:00 raid.</t>
      </text>
    </comment>
    <comment ref="AF2" authorId="0" shapeId="0">
      <text>
        <t>Result (R)
What: Result of that setup in R (multiples of your risk).
How: Number: 2 = +2R · -1 = full stop · 0 = breakeven. Leave empty if no setup.</t>
      </text>
    </comment>
    <comment ref="AG2" authorId="0" shapeId="0">
      <text>
        <t>Chart link
What: TradingView snapshot of the day, so you can see it again in one click.
How: Camera icon → Copy link → paste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11827"/>
    <outlinePr summaryBelow="1" summaryRight="1"/>
    <pageSetUpPr/>
  </sheetPr>
  <dimension ref="A1:AG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9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30" customWidth="1" min="11" max="11"/>
    <col width="13" customWidth="1" min="12" max="12"/>
    <col width="13" customWidth="1" min="13" max="13"/>
    <col width="11" customWidth="1" min="14" max="14"/>
    <col width="11" customWidth="1" min="15" max="15"/>
    <col width="11" customWidth="1" min="16" max="16"/>
    <col width="15" customWidth="1" min="17" max="17"/>
    <col width="15" customWidth="1" min="18" max="18"/>
    <col width="12" customWidth="1" min="19" max="19"/>
    <col width="15" customWidth="1" min="20" max="20"/>
    <col width="16" customWidth="1" min="21" max="21"/>
    <col width="16" customWidth="1" min="22" max="22"/>
    <col width="18" customWidth="1" min="23" max="23"/>
    <col width="13" customWidth="1" min="24" max="24"/>
    <col width="15" customWidth="1" min="25" max="25"/>
    <col width="17" customWidth="1" min="26" max="26"/>
    <col width="19" customWidth="1" min="27" max="27"/>
    <col width="16" customWidth="1" min="28" max="28"/>
    <col width="24" customWidth="1" min="29" max="29"/>
    <col width="12" customWidth="1" min="30" max="30"/>
    <col width="18" customWidth="1" min="31" max="31"/>
    <col width="10" customWidth="1" min="32" max="32"/>
    <col width="26" customWidth="1" min="33" max="33"/>
  </cols>
  <sheetData>
    <row r="1" ht="22" customHeight="1">
      <c r="A1" s="1" t="inlineStr">
        <is>
          <t>1 · YOUR COLUMNS</t>
        </is>
      </c>
      <c r="C1" s="2" t="inlineStr">
        <is>
          <t>same order as your old tab → paste your old rows at A4 with Ctrl+Shift+V (values only)</t>
        </is>
      </c>
      <c r="L1" s="3" t="inlineStr">
        <is>
          <t>2 · CPI NUMBER</t>
        </is>
      </c>
      <c r="N1" s="4" t="inlineStr">
        <is>
          <t>3 · CANDLE CLOSE</t>
        </is>
      </c>
      <c r="Q1" s="5" t="inlineStr">
        <is>
          <t>4 · AFTER THE 1st MINUTE</t>
        </is>
      </c>
      <c r="X1" s="6" t="inlineStr">
        <is>
          <t>5 · ICT CONTEXT</t>
        </is>
      </c>
      <c r="AE1" s="7" t="inlineStr">
        <is>
          <t>6 · TRADE &amp; REVIEW</t>
        </is>
      </c>
    </row>
    <row r="2" ht="54" customHeight="1">
      <c r="A2" s="8" t="inlineStr">
        <is>
          <t>CPI Release Date</t>
        </is>
      </c>
      <c r="B2" s="9" t="inlineStr">
        <is>
          <t>Day</t>
        </is>
      </c>
      <c r="C2" s="10" t="inlineStr">
        <is>
          <t>Wick</t>
        </is>
      </c>
      <c r="D2" s="10" t="inlineStr">
        <is>
          <t>Wick pts</t>
        </is>
      </c>
      <c r="E2" s="10" t="inlineStr">
        <is>
          <t>Main Move</t>
        </is>
      </c>
      <c r="F2" s="10" t="inlineStr">
        <is>
          <t>15sec move</t>
        </is>
      </c>
      <c r="G2" s="10" t="inlineStr">
        <is>
          <t>30sec move</t>
        </is>
      </c>
      <c r="H2" s="10" t="inlineStr">
        <is>
          <t>1min move</t>
        </is>
      </c>
      <c r="I2" s="10" t="inlineStr">
        <is>
          <t>Straddle</t>
        </is>
      </c>
      <c r="J2" s="10" t="inlineStr">
        <is>
          <t>Scam Wick (15 sec before)</t>
        </is>
      </c>
      <c r="K2" s="10" t="inlineStr">
        <is>
          <t>Notes</t>
        </is>
      </c>
      <c r="L2" s="11" t="inlineStr">
        <is>
          <t>CPI vs forecast</t>
        </is>
      </c>
      <c r="M2" s="12" t="inlineStr">
        <is>
          <t>Move vs data (auto)</t>
        </is>
      </c>
      <c r="N2" s="13" t="inlineStr">
        <is>
          <t>1m candle close</t>
        </is>
      </c>
      <c r="O2" s="14" t="inlineStr">
        <is>
          <t>5m candle close</t>
        </is>
      </c>
      <c r="P2" s="14" t="inlineStr">
        <is>
          <t>15m candle close</t>
        </is>
      </c>
      <c r="Q2" s="15" t="inlineStr">
        <is>
          <t>1-min HIGH taken (BSL) – when?</t>
        </is>
      </c>
      <c r="R2" s="16" t="inlineStr">
        <is>
          <t>1-min LOW taken (SSL) – when?</t>
        </is>
      </c>
      <c r="S2" s="16" t="inlineStr">
        <is>
          <t>Deepest pullback %</t>
        </is>
      </c>
      <c r="T2" s="16" t="inlineStr">
        <is>
          <t>Back to 8:30 open – when?</t>
        </is>
      </c>
      <c r="U2" s="16" t="inlineStr">
        <is>
          <t>At the open, price…</t>
        </is>
      </c>
      <c r="V2" s="17" t="inlineStr">
        <is>
          <t>Outcome 8:31–8:45 (auto)</t>
        </is>
      </c>
      <c r="W2" s="17" t="inlineStr">
        <is>
          <t>First side taken (auto)</t>
        </is>
      </c>
      <c r="X2" s="18" t="inlineStr">
        <is>
          <t>Daily bias (before 8:30)</t>
        </is>
      </c>
      <c r="Y2" s="19" t="inlineStr">
        <is>
          <t>8:30 open vs Midnight open</t>
        </is>
      </c>
      <c r="Z2" s="19" t="inlineStr">
        <is>
          <t>Liquidity taken by wick</t>
        </is>
      </c>
      <c r="AA2" s="19" t="inlineStr">
        <is>
          <t>Liquidity taken by main move (by 8:45)</t>
        </is>
      </c>
      <c r="AB2" s="19" t="inlineStr">
        <is>
          <t>HTF PD array at extreme (optional)</t>
        </is>
      </c>
      <c r="AC2" s="19" t="inlineStr">
        <is>
          <t>1m FVG from main move</t>
        </is>
      </c>
      <c r="AD2" s="19" t="inlineStr">
        <is>
          <t>SMT with ES (optional)</t>
        </is>
      </c>
      <c r="AE2" s="20" t="inlineStr">
        <is>
          <t>Setup</t>
        </is>
      </c>
      <c r="AF2" s="21" t="inlineStr">
        <is>
          <t>Result (R)</t>
        </is>
      </c>
      <c r="AG2" s="21" t="inlineStr">
        <is>
          <t>Chart link</t>
        </is>
      </c>
    </row>
    <row r="3" ht="34" customHeight="1">
      <c r="A3" s="22" t="inlineStr">
        <is>
          <t>date</t>
        </is>
      </c>
      <c r="B3" s="23" t="inlineStr">
        <is>
          <t>auto</t>
        </is>
      </c>
      <c r="C3" s="24" t="inlineStr">
        <is>
          <t>▼ Up / Down / No Wick</t>
        </is>
      </c>
      <c r="D3" s="24" t="inlineStr">
        <is>
          <t>pts</t>
        </is>
      </c>
      <c r="E3" s="24" t="inlineStr">
        <is>
          <t>▼ Up / Down</t>
        </is>
      </c>
      <c r="F3" s="24" t="inlineStr">
        <is>
          <t>pts</t>
        </is>
      </c>
      <c r="G3" s="24" t="inlineStr">
        <is>
          <t>pts</t>
        </is>
      </c>
      <c r="H3" s="24" t="inlineStr">
        <is>
          <t>pts</t>
        </is>
      </c>
      <c r="I3" s="24" t="inlineStr">
        <is>
          <t>▼ TP / SL / BE / N/A</t>
        </is>
      </c>
      <c r="J3" s="24" t="inlineStr">
        <is>
          <t>pts</t>
        </is>
      </c>
      <c r="K3" s="24" t="inlineStr">
        <is>
          <t>text</t>
        </is>
      </c>
      <c r="L3" s="22" t="inlineStr">
        <is>
          <t>▼ Hotter / Cooler / In line / Mixed</t>
        </is>
      </c>
      <c r="M3" s="23" t="inlineStr">
        <is>
          <t>auto</t>
        </is>
      </c>
      <c r="N3" s="22" t="inlineStr">
        <is>
          <t>▼ Top / Middle / Bottom</t>
        </is>
      </c>
      <c r="O3" s="24" t="inlineStr">
        <is>
          <t>▼ Top / Middle / Bottom</t>
        </is>
      </c>
      <c r="P3" s="24" t="inlineStr">
        <is>
          <t>▼ Top / Middle / Bottom</t>
        </is>
      </c>
      <c r="Q3" s="22" t="inlineStr">
        <is>
          <t>▼ time window</t>
        </is>
      </c>
      <c r="R3" s="24" t="inlineStr">
        <is>
          <t>▼ time window</t>
        </is>
      </c>
      <c r="S3" s="24" t="inlineStr">
        <is>
          <t>0-200 (no % sign)</t>
        </is>
      </c>
      <c r="T3" s="24" t="inlineStr">
        <is>
          <t>▼ time window</t>
        </is>
      </c>
      <c r="U3" s="24" t="inlineStr">
        <is>
          <t>▼ pick</t>
        </is>
      </c>
      <c r="V3" s="23" t="inlineStr">
        <is>
          <t>auto</t>
        </is>
      </c>
      <c r="W3" s="23" t="inlineStr">
        <is>
          <t>auto</t>
        </is>
      </c>
      <c r="X3" s="22" t="inlineStr">
        <is>
          <t>▼ pick</t>
        </is>
      </c>
      <c r="Y3" s="24" t="inlineStr">
        <is>
          <t>▼ Above / Below</t>
        </is>
      </c>
      <c r="Z3" s="24" t="inlineStr">
        <is>
          <t>▼ biggest level</t>
        </is>
      </c>
      <c r="AA3" s="24" t="inlineStr">
        <is>
          <t>▼ biggest level</t>
        </is>
      </c>
      <c r="AB3" s="24" t="inlineStr">
        <is>
          <t>▼ pick</t>
        </is>
      </c>
      <c r="AC3" s="24" t="inlineStr">
        <is>
          <t>▼ pick</t>
        </is>
      </c>
      <c r="AD3" s="24" t="inlineStr">
        <is>
          <t>▼ Yes / No</t>
        </is>
      </c>
      <c r="AE3" s="22" t="inlineStr">
        <is>
          <t>▼ pick</t>
        </is>
      </c>
      <c r="AF3" s="24" t="inlineStr">
        <is>
          <t>e.g. 2 or -1</t>
        </is>
      </c>
      <c r="AG3" s="24" t="inlineStr">
        <is>
          <t>TradingView link</t>
        </is>
      </c>
    </row>
    <row r="4">
      <c r="A4" s="25" t="n"/>
      <c r="B4" s="26">
        <f>IF(ISNUMBER(A4),TEXT(A4,"ddd"),"")</f>
        <v/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8" t="n"/>
      <c r="M4" s="26">
        <f>IF(OR(L4="",AND(E4&lt;&gt;"Up",E4&lt;&gt;"Down")),"",IF(OR(L4="In line",L4="Mixed"),"Neutral data",IF(OR(AND(L4="Hotter",E4="Down"),AND(L4="Cooler",E4="Up")),"With data","Against data")))</f>
        <v/>
      </c>
      <c r="N4" s="28" t="n"/>
      <c r="O4" s="27" t="n"/>
      <c r="P4" s="27" t="n"/>
      <c r="Q4" s="28" t="n"/>
      <c r="R4" s="27" t="n"/>
      <c r="S4" s="29" t="n"/>
      <c r="T4" s="27" t="n"/>
      <c r="U4" s="27" t="n"/>
      <c r="V4" s="26">
        <f>IF(OR(AND(E4&lt;&gt;"Up",E4&lt;&gt;"Down"),NOT(ISNUMBER(S4)),IF(E4="Up",Q4,R4)=""),"",IF(S4&gt;=100,"Back to open",IF(OR(IF(E4="Up",Q4,R4)="1-5 min",IF(E4="Up",Q4,R4)="5-15 min"),"Continued",IF(S4&gt;=50,"Partial retrace","Stalled / chop"))))</f>
        <v/>
      </c>
      <c r="W4" s="26">
        <f>IF(OR(Q4="",R4=""),"",IFERROR(IF(AND(Q4="Not by 16:00",R4="Not by 16:00"),"Neither taken",IF(FIND("|"&amp;Q4&amp;"|","|1-5 min|5-15 min|15-60 min|9:30-11:00|11:00-16:00|Not by 16:00|")=FIND("|"&amp;R4&amp;"|","|1-5 min|5-15 min|15-60 min|9:30-11:00|11:00-16:00|Not by 16:00|"),"Same window",IF(FIND("|"&amp;Q4&amp;"|","|1-5 min|5-15 min|15-60 min|9:30-11:00|11:00-16:00|Not by 16:00|")&lt;FIND("|"&amp;R4&amp;"|","|1-5 min|5-15 min|15-60 min|9:30-11:00|11:00-16:00|Not by 16:00|"),IF(E4="Up","High first (main side)",IF(E4="Down","High first (wick side)","High first")),IF(E4="Down","Low first (main side)",IF(E4="Up","Low first (wick side)","Low first"))))),"Check entries"))</f>
        <v/>
      </c>
      <c r="X4" s="28" t="n"/>
      <c r="Y4" s="27" t="n"/>
      <c r="Z4" s="27" t="n"/>
      <c r="AA4" s="27" t="n"/>
      <c r="AB4" s="27" t="n"/>
      <c r="AC4" s="27" t="n"/>
      <c r="AD4" s="27" t="n"/>
      <c r="AE4" s="28" t="n"/>
      <c r="AF4" s="30" t="n"/>
      <c r="AG4" s="27" t="n"/>
    </row>
    <row r="5">
      <c r="A5" s="25" t="n"/>
      <c r="B5" s="26">
        <f>IF(ISNUMBER(A5),TEXT(A5,"ddd"),"")</f>
        <v/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8" t="n"/>
      <c r="M5" s="26">
        <f>IF(OR(L5="",AND(E5&lt;&gt;"Up",E5&lt;&gt;"Down")),"",IF(OR(L5="In line",L5="Mixed"),"Neutral data",IF(OR(AND(L5="Hotter",E5="Down"),AND(L5="Cooler",E5="Up")),"With data","Against data")))</f>
        <v/>
      </c>
      <c r="N5" s="28" t="n"/>
      <c r="O5" s="27" t="n"/>
      <c r="P5" s="27" t="n"/>
      <c r="Q5" s="28" t="n"/>
      <c r="R5" s="27" t="n"/>
      <c r="S5" s="29" t="n"/>
      <c r="T5" s="27" t="n"/>
      <c r="U5" s="27" t="n"/>
      <c r="V5" s="26">
        <f>IF(OR(AND(E5&lt;&gt;"Up",E5&lt;&gt;"Down"),NOT(ISNUMBER(S5)),IF(E5="Up",Q5,R5)=""),"",IF(S5&gt;=100,"Back to open",IF(OR(IF(E5="Up",Q5,R5)="1-5 min",IF(E5="Up",Q5,R5)="5-15 min"),"Continued",IF(S5&gt;=50,"Partial retrace","Stalled / chop"))))</f>
        <v/>
      </c>
      <c r="W5" s="26">
        <f>IF(OR(Q5="",R5=""),"",IFERROR(IF(AND(Q5="Not by 16:00",R5="Not by 16:00"),"Neither taken",IF(FIND("|"&amp;Q5&amp;"|","|1-5 min|5-15 min|15-60 min|9:30-11:00|11:00-16:00|Not by 16:00|")=FIND("|"&amp;R5&amp;"|","|1-5 min|5-15 min|15-60 min|9:30-11:00|11:00-16:00|Not by 16:00|"),"Same window",IF(FIND("|"&amp;Q5&amp;"|","|1-5 min|5-15 min|15-60 min|9:30-11:00|11:00-16:00|Not by 16:00|")&lt;FIND("|"&amp;R5&amp;"|","|1-5 min|5-15 min|15-60 min|9:30-11:00|11:00-16:00|Not by 16:00|"),IF(E5="Up","High first (main side)",IF(E5="Down","High first (wick side)","High first")),IF(E5="Down","Low first (main side)",IF(E5="Up","Low first (wick side)","Low first"))))),"Check entries"))</f>
        <v/>
      </c>
      <c r="X5" s="28" t="n"/>
      <c r="Y5" s="27" t="n"/>
      <c r="Z5" s="27" t="n"/>
      <c r="AA5" s="27" t="n"/>
      <c r="AB5" s="27" t="n"/>
      <c r="AC5" s="27" t="n"/>
      <c r="AD5" s="27" t="n"/>
      <c r="AE5" s="28" t="n"/>
      <c r="AF5" s="30" t="n"/>
      <c r="AG5" s="27" t="n"/>
    </row>
    <row r="6">
      <c r="A6" s="25" t="n"/>
      <c r="B6" s="26">
        <f>IF(ISNUMBER(A6),TEXT(A6,"ddd"),"")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8" t="n"/>
      <c r="M6" s="26">
        <f>IF(OR(L6="",AND(E6&lt;&gt;"Up",E6&lt;&gt;"Down")),"",IF(OR(L6="In line",L6="Mixed"),"Neutral data",IF(OR(AND(L6="Hotter",E6="Down"),AND(L6="Cooler",E6="Up")),"With data","Against data")))</f>
        <v/>
      </c>
      <c r="N6" s="28" t="n"/>
      <c r="O6" s="27" t="n"/>
      <c r="P6" s="27" t="n"/>
      <c r="Q6" s="28" t="n"/>
      <c r="R6" s="27" t="n"/>
      <c r="S6" s="29" t="n"/>
      <c r="T6" s="27" t="n"/>
      <c r="U6" s="27" t="n"/>
      <c r="V6" s="26">
        <f>IF(OR(AND(E6&lt;&gt;"Up",E6&lt;&gt;"Down"),NOT(ISNUMBER(S6)),IF(E6="Up",Q6,R6)=""),"",IF(S6&gt;=100,"Back to open",IF(OR(IF(E6="Up",Q6,R6)="1-5 min",IF(E6="Up",Q6,R6)="5-15 min"),"Continued",IF(S6&gt;=50,"Partial retrace","Stalled / chop"))))</f>
        <v/>
      </c>
      <c r="W6" s="26">
        <f>IF(OR(Q6="",R6=""),"",IFERROR(IF(AND(Q6="Not by 16:00",R6="Not by 16:00"),"Neither taken",IF(FIND("|"&amp;Q6&amp;"|","|1-5 min|5-15 min|15-60 min|9:30-11:00|11:00-16:00|Not by 16:00|")=FIND("|"&amp;R6&amp;"|","|1-5 min|5-15 min|15-60 min|9:30-11:00|11:00-16:00|Not by 16:00|"),"Same window",IF(FIND("|"&amp;Q6&amp;"|","|1-5 min|5-15 min|15-60 min|9:30-11:00|11:00-16:00|Not by 16:00|")&lt;FIND("|"&amp;R6&amp;"|","|1-5 min|5-15 min|15-60 min|9:30-11:00|11:00-16:00|Not by 16:00|"),IF(E6="Up","High first (main side)",IF(E6="Down","High first (wick side)","High first")),IF(E6="Down","Low first (main side)",IF(E6="Up","Low first (wick side)","Low first"))))),"Check entries"))</f>
        <v/>
      </c>
      <c r="X6" s="28" t="n"/>
      <c r="Y6" s="27" t="n"/>
      <c r="Z6" s="27" t="n"/>
      <c r="AA6" s="27" t="n"/>
      <c r="AB6" s="27" t="n"/>
      <c r="AC6" s="27" t="n"/>
      <c r="AD6" s="27" t="n"/>
      <c r="AE6" s="28" t="n"/>
      <c r="AF6" s="30" t="n"/>
      <c r="AG6" s="27" t="n"/>
    </row>
    <row r="7">
      <c r="A7" s="25" t="n"/>
      <c r="B7" s="26">
        <f>IF(ISNUMBER(A7),TEXT(A7,"ddd"),"")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8" t="n"/>
      <c r="M7" s="26">
        <f>IF(OR(L7="",AND(E7&lt;&gt;"Up",E7&lt;&gt;"Down")),"",IF(OR(L7="In line",L7="Mixed"),"Neutral data",IF(OR(AND(L7="Hotter",E7="Down"),AND(L7="Cooler",E7="Up")),"With data","Against data")))</f>
        <v/>
      </c>
      <c r="N7" s="28" t="n"/>
      <c r="O7" s="27" t="n"/>
      <c r="P7" s="27" t="n"/>
      <c r="Q7" s="28" t="n"/>
      <c r="R7" s="27" t="n"/>
      <c r="S7" s="29" t="n"/>
      <c r="T7" s="27" t="n"/>
      <c r="U7" s="27" t="n"/>
      <c r="V7" s="26">
        <f>IF(OR(AND(E7&lt;&gt;"Up",E7&lt;&gt;"Down"),NOT(ISNUMBER(S7)),IF(E7="Up",Q7,R7)=""),"",IF(S7&gt;=100,"Back to open",IF(OR(IF(E7="Up",Q7,R7)="1-5 min",IF(E7="Up",Q7,R7)="5-15 min"),"Continued",IF(S7&gt;=50,"Partial retrace","Stalled / chop"))))</f>
        <v/>
      </c>
      <c r="W7" s="26">
        <f>IF(OR(Q7="",R7=""),"",IFERROR(IF(AND(Q7="Not by 16:00",R7="Not by 16:00"),"Neither taken",IF(FIND("|"&amp;Q7&amp;"|","|1-5 min|5-15 min|15-60 min|9:30-11:00|11:00-16:00|Not by 16:00|")=FIND("|"&amp;R7&amp;"|","|1-5 min|5-15 min|15-60 min|9:30-11:00|11:00-16:00|Not by 16:00|"),"Same window",IF(FIND("|"&amp;Q7&amp;"|","|1-5 min|5-15 min|15-60 min|9:30-11:00|11:00-16:00|Not by 16:00|")&lt;FIND("|"&amp;R7&amp;"|","|1-5 min|5-15 min|15-60 min|9:30-11:00|11:00-16:00|Not by 16:00|"),IF(E7="Up","High first (main side)",IF(E7="Down","High first (wick side)","High first")),IF(E7="Down","Low first (main side)",IF(E7="Up","Low first (wick side)","Low first"))))),"Check entries"))</f>
        <v/>
      </c>
      <c r="X7" s="28" t="n"/>
      <c r="Y7" s="27" t="n"/>
      <c r="Z7" s="27" t="n"/>
      <c r="AA7" s="27" t="n"/>
      <c r="AB7" s="27" t="n"/>
      <c r="AC7" s="27" t="n"/>
      <c r="AD7" s="27" t="n"/>
      <c r="AE7" s="28" t="n"/>
      <c r="AF7" s="30" t="n"/>
      <c r="AG7" s="27" t="n"/>
    </row>
    <row r="8">
      <c r="A8" s="25" t="n"/>
      <c r="B8" s="26">
        <f>IF(ISNUMBER(A8),TEXT(A8,"ddd"),"")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8" t="n"/>
      <c r="M8" s="26">
        <f>IF(OR(L8="",AND(E8&lt;&gt;"Up",E8&lt;&gt;"Down")),"",IF(OR(L8="In line",L8="Mixed"),"Neutral data",IF(OR(AND(L8="Hotter",E8="Down"),AND(L8="Cooler",E8="Up")),"With data","Against data")))</f>
        <v/>
      </c>
      <c r="N8" s="28" t="n"/>
      <c r="O8" s="27" t="n"/>
      <c r="P8" s="27" t="n"/>
      <c r="Q8" s="28" t="n"/>
      <c r="R8" s="27" t="n"/>
      <c r="S8" s="29" t="n"/>
      <c r="T8" s="27" t="n"/>
      <c r="U8" s="27" t="n"/>
      <c r="V8" s="26">
        <f>IF(OR(AND(E8&lt;&gt;"Up",E8&lt;&gt;"Down"),NOT(ISNUMBER(S8)),IF(E8="Up",Q8,R8)=""),"",IF(S8&gt;=100,"Back to open",IF(OR(IF(E8="Up",Q8,R8)="1-5 min",IF(E8="Up",Q8,R8)="5-15 min"),"Continued",IF(S8&gt;=50,"Partial retrace","Stalled / chop"))))</f>
        <v/>
      </c>
      <c r="W8" s="26">
        <f>IF(OR(Q8="",R8=""),"",IFERROR(IF(AND(Q8="Not by 16:00",R8="Not by 16:00"),"Neither taken",IF(FIND("|"&amp;Q8&amp;"|","|1-5 min|5-15 min|15-60 min|9:30-11:00|11:00-16:00|Not by 16:00|")=FIND("|"&amp;R8&amp;"|","|1-5 min|5-15 min|15-60 min|9:30-11:00|11:00-16:00|Not by 16:00|"),"Same window",IF(FIND("|"&amp;Q8&amp;"|","|1-5 min|5-15 min|15-60 min|9:30-11:00|11:00-16:00|Not by 16:00|")&lt;FIND("|"&amp;R8&amp;"|","|1-5 min|5-15 min|15-60 min|9:30-11:00|11:00-16:00|Not by 16:00|"),IF(E8="Up","High first (main side)",IF(E8="Down","High first (wick side)","High first")),IF(E8="Down","Low first (main side)",IF(E8="Up","Low first (wick side)","Low first"))))),"Check entries"))</f>
        <v/>
      </c>
      <c r="X8" s="28" t="n"/>
      <c r="Y8" s="27" t="n"/>
      <c r="Z8" s="27" t="n"/>
      <c r="AA8" s="27" t="n"/>
      <c r="AB8" s="27" t="n"/>
      <c r="AC8" s="27" t="n"/>
      <c r="AD8" s="27" t="n"/>
      <c r="AE8" s="28" t="n"/>
      <c r="AF8" s="30" t="n"/>
      <c r="AG8" s="27" t="n"/>
    </row>
    <row r="9">
      <c r="A9" s="25" t="n"/>
      <c r="B9" s="26">
        <f>IF(ISNUMBER(A9),TEXT(A9,"ddd"),"")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8" t="n"/>
      <c r="M9" s="26">
        <f>IF(OR(L9="",AND(E9&lt;&gt;"Up",E9&lt;&gt;"Down")),"",IF(OR(L9="In line",L9="Mixed"),"Neutral data",IF(OR(AND(L9="Hotter",E9="Down"),AND(L9="Cooler",E9="Up")),"With data","Against data")))</f>
        <v/>
      </c>
      <c r="N9" s="28" t="n"/>
      <c r="O9" s="27" t="n"/>
      <c r="P9" s="27" t="n"/>
      <c r="Q9" s="28" t="n"/>
      <c r="R9" s="27" t="n"/>
      <c r="S9" s="29" t="n"/>
      <c r="T9" s="27" t="n"/>
      <c r="U9" s="27" t="n"/>
      <c r="V9" s="26">
        <f>IF(OR(AND(E9&lt;&gt;"Up",E9&lt;&gt;"Down"),NOT(ISNUMBER(S9)),IF(E9="Up",Q9,R9)=""),"",IF(S9&gt;=100,"Back to open",IF(OR(IF(E9="Up",Q9,R9)="1-5 min",IF(E9="Up",Q9,R9)="5-15 min"),"Continued",IF(S9&gt;=50,"Partial retrace","Stalled / chop"))))</f>
        <v/>
      </c>
      <c r="W9" s="26">
        <f>IF(OR(Q9="",R9=""),"",IFERROR(IF(AND(Q9="Not by 16:00",R9="Not by 16:00"),"Neither taken",IF(FIND("|"&amp;Q9&amp;"|","|1-5 min|5-15 min|15-60 min|9:30-11:00|11:00-16:00|Not by 16:00|")=FIND("|"&amp;R9&amp;"|","|1-5 min|5-15 min|15-60 min|9:30-11:00|11:00-16:00|Not by 16:00|"),"Same window",IF(FIND("|"&amp;Q9&amp;"|","|1-5 min|5-15 min|15-60 min|9:30-11:00|11:00-16:00|Not by 16:00|")&lt;FIND("|"&amp;R9&amp;"|","|1-5 min|5-15 min|15-60 min|9:30-11:00|11:00-16:00|Not by 16:00|"),IF(E9="Up","High first (main side)",IF(E9="Down","High first (wick side)","High first")),IF(E9="Down","Low first (main side)",IF(E9="Up","Low first (wick side)","Low first"))))),"Check entries"))</f>
        <v/>
      </c>
      <c r="X9" s="28" t="n"/>
      <c r="Y9" s="27" t="n"/>
      <c r="Z9" s="27" t="n"/>
      <c r="AA9" s="27" t="n"/>
      <c r="AB9" s="27" t="n"/>
      <c r="AC9" s="27" t="n"/>
      <c r="AD9" s="27" t="n"/>
      <c r="AE9" s="28" t="n"/>
      <c r="AF9" s="30" t="n"/>
      <c r="AG9" s="27" t="n"/>
    </row>
    <row r="10">
      <c r="A10" s="25" t="n"/>
      <c r="B10" s="26">
        <f>IF(ISNUMBER(A10),TEXT(A10,"ddd"),"")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8" t="n"/>
      <c r="M10" s="26">
        <f>IF(OR(L10="",AND(E10&lt;&gt;"Up",E10&lt;&gt;"Down")),"",IF(OR(L10="In line",L10="Mixed"),"Neutral data",IF(OR(AND(L10="Hotter",E10="Down"),AND(L10="Cooler",E10="Up")),"With data","Against data")))</f>
        <v/>
      </c>
      <c r="N10" s="28" t="n"/>
      <c r="O10" s="27" t="n"/>
      <c r="P10" s="27" t="n"/>
      <c r="Q10" s="28" t="n"/>
      <c r="R10" s="27" t="n"/>
      <c r="S10" s="29" t="n"/>
      <c r="T10" s="27" t="n"/>
      <c r="U10" s="27" t="n"/>
      <c r="V10" s="26">
        <f>IF(OR(AND(E10&lt;&gt;"Up",E10&lt;&gt;"Down"),NOT(ISNUMBER(S10)),IF(E10="Up",Q10,R10)=""),"",IF(S10&gt;=100,"Back to open",IF(OR(IF(E10="Up",Q10,R10)="1-5 min",IF(E10="Up",Q10,R10)="5-15 min"),"Continued",IF(S10&gt;=50,"Partial retrace","Stalled / chop"))))</f>
        <v/>
      </c>
      <c r="W10" s="26">
        <f>IF(OR(Q10="",R10=""),"",IFERROR(IF(AND(Q10="Not by 16:00",R10="Not by 16:00"),"Neither taken",IF(FIND("|"&amp;Q10&amp;"|","|1-5 min|5-15 min|15-60 min|9:30-11:00|11:00-16:00|Not by 16:00|")=FIND("|"&amp;R10&amp;"|","|1-5 min|5-15 min|15-60 min|9:30-11:00|11:00-16:00|Not by 16:00|"),"Same window",IF(FIND("|"&amp;Q10&amp;"|","|1-5 min|5-15 min|15-60 min|9:30-11:00|11:00-16:00|Not by 16:00|")&lt;FIND("|"&amp;R10&amp;"|","|1-5 min|5-15 min|15-60 min|9:30-11:00|11:00-16:00|Not by 16:00|"),IF(E10="Up","High first (main side)",IF(E10="Down","High first (wick side)","High first")),IF(E10="Down","Low first (main side)",IF(E10="Up","Low first (wick side)","Low first"))))),"Check entries"))</f>
        <v/>
      </c>
      <c r="X10" s="28" t="n"/>
      <c r="Y10" s="27" t="n"/>
      <c r="Z10" s="27" t="n"/>
      <c r="AA10" s="27" t="n"/>
      <c r="AB10" s="27" t="n"/>
      <c r="AC10" s="27" t="n"/>
      <c r="AD10" s="27" t="n"/>
      <c r="AE10" s="28" t="n"/>
      <c r="AF10" s="30" t="n"/>
      <c r="AG10" s="27" t="n"/>
    </row>
    <row r="11">
      <c r="A11" s="25" t="n"/>
      <c r="B11" s="26">
        <f>IF(ISNUMBER(A11),TEXT(A11,"ddd"),"")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8" t="n"/>
      <c r="M11" s="26">
        <f>IF(OR(L11="",AND(E11&lt;&gt;"Up",E11&lt;&gt;"Down")),"",IF(OR(L11="In line",L11="Mixed"),"Neutral data",IF(OR(AND(L11="Hotter",E11="Down"),AND(L11="Cooler",E11="Up")),"With data","Against data")))</f>
        <v/>
      </c>
      <c r="N11" s="28" t="n"/>
      <c r="O11" s="27" t="n"/>
      <c r="P11" s="27" t="n"/>
      <c r="Q11" s="28" t="n"/>
      <c r="R11" s="27" t="n"/>
      <c r="S11" s="29" t="n"/>
      <c r="T11" s="27" t="n"/>
      <c r="U11" s="27" t="n"/>
      <c r="V11" s="26">
        <f>IF(OR(AND(E11&lt;&gt;"Up",E11&lt;&gt;"Down"),NOT(ISNUMBER(S11)),IF(E11="Up",Q11,R11)=""),"",IF(S11&gt;=100,"Back to open",IF(OR(IF(E11="Up",Q11,R11)="1-5 min",IF(E11="Up",Q11,R11)="5-15 min"),"Continued",IF(S11&gt;=50,"Partial retrace","Stalled / chop"))))</f>
        <v/>
      </c>
      <c r="W11" s="26">
        <f>IF(OR(Q11="",R11=""),"",IFERROR(IF(AND(Q11="Not by 16:00",R11="Not by 16:00"),"Neither taken",IF(FIND("|"&amp;Q11&amp;"|","|1-5 min|5-15 min|15-60 min|9:30-11:00|11:00-16:00|Not by 16:00|")=FIND("|"&amp;R11&amp;"|","|1-5 min|5-15 min|15-60 min|9:30-11:00|11:00-16:00|Not by 16:00|"),"Same window",IF(FIND("|"&amp;Q11&amp;"|","|1-5 min|5-15 min|15-60 min|9:30-11:00|11:00-16:00|Not by 16:00|")&lt;FIND("|"&amp;R11&amp;"|","|1-5 min|5-15 min|15-60 min|9:30-11:00|11:00-16:00|Not by 16:00|"),IF(E11="Up","High first (main side)",IF(E11="Down","High first (wick side)","High first")),IF(E11="Down","Low first (main side)",IF(E11="Up","Low first (wick side)","Low first"))))),"Check entries"))</f>
        <v/>
      </c>
      <c r="X11" s="28" t="n"/>
      <c r="Y11" s="27" t="n"/>
      <c r="Z11" s="27" t="n"/>
      <c r="AA11" s="27" t="n"/>
      <c r="AB11" s="27" t="n"/>
      <c r="AC11" s="27" t="n"/>
      <c r="AD11" s="27" t="n"/>
      <c r="AE11" s="28" t="n"/>
      <c r="AF11" s="30" t="n"/>
      <c r="AG11" s="27" t="n"/>
    </row>
    <row r="12">
      <c r="A12" s="25" t="n"/>
      <c r="B12" s="26">
        <f>IF(ISNUMBER(A12),TEXT(A12,"ddd"),"")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8" t="n"/>
      <c r="M12" s="26">
        <f>IF(OR(L12="",AND(E12&lt;&gt;"Up",E12&lt;&gt;"Down")),"",IF(OR(L12="In line",L12="Mixed"),"Neutral data",IF(OR(AND(L12="Hotter",E12="Down"),AND(L12="Cooler",E12="Up")),"With data","Against data")))</f>
        <v/>
      </c>
      <c r="N12" s="28" t="n"/>
      <c r="O12" s="27" t="n"/>
      <c r="P12" s="27" t="n"/>
      <c r="Q12" s="28" t="n"/>
      <c r="R12" s="27" t="n"/>
      <c r="S12" s="29" t="n"/>
      <c r="T12" s="27" t="n"/>
      <c r="U12" s="27" t="n"/>
      <c r="V12" s="26">
        <f>IF(OR(AND(E12&lt;&gt;"Up",E12&lt;&gt;"Down"),NOT(ISNUMBER(S12)),IF(E12="Up",Q12,R12)=""),"",IF(S12&gt;=100,"Back to open",IF(OR(IF(E12="Up",Q12,R12)="1-5 min",IF(E12="Up",Q12,R12)="5-15 min"),"Continued",IF(S12&gt;=50,"Partial retrace","Stalled / chop"))))</f>
        <v/>
      </c>
      <c r="W12" s="26">
        <f>IF(OR(Q12="",R12=""),"",IFERROR(IF(AND(Q12="Not by 16:00",R12="Not by 16:00"),"Neither taken",IF(FIND("|"&amp;Q12&amp;"|","|1-5 min|5-15 min|15-60 min|9:30-11:00|11:00-16:00|Not by 16:00|")=FIND("|"&amp;R12&amp;"|","|1-5 min|5-15 min|15-60 min|9:30-11:00|11:00-16:00|Not by 16:00|"),"Same window",IF(FIND("|"&amp;Q12&amp;"|","|1-5 min|5-15 min|15-60 min|9:30-11:00|11:00-16:00|Not by 16:00|")&lt;FIND("|"&amp;R12&amp;"|","|1-5 min|5-15 min|15-60 min|9:30-11:00|11:00-16:00|Not by 16:00|"),IF(E12="Up","High first (main side)",IF(E12="Down","High first (wick side)","High first")),IF(E12="Down","Low first (main side)",IF(E12="Up","Low first (wick side)","Low first"))))),"Check entries"))</f>
        <v/>
      </c>
      <c r="X12" s="28" t="n"/>
      <c r="Y12" s="27" t="n"/>
      <c r="Z12" s="27" t="n"/>
      <c r="AA12" s="27" t="n"/>
      <c r="AB12" s="27" t="n"/>
      <c r="AC12" s="27" t="n"/>
      <c r="AD12" s="27" t="n"/>
      <c r="AE12" s="28" t="n"/>
      <c r="AF12" s="30" t="n"/>
      <c r="AG12" s="27" t="n"/>
    </row>
    <row r="13">
      <c r="A13" s="25" t="n"/>
      <c r="B13" s="26">
        <f>IF(ISNUMBER(A13),TEXT(A13,"ddd"),"")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8" t="n"/>
      <c r="M13" s="26">
        <f>IF(OR(L13="",AND(E13&lt;&gt;"Up",E13&lt;&gt;"Down")),"",IF(OR(L13="In line",L13="Mixed"),"Neutral data",IF(OR(AND(L13="Hotter",E13="Down"),AND(L13="Cooler",E13="Up")),"With data","Against data")))</f>
        <v/>
      </c>
      <c r="N13" s="28" t="n"/>
      <c r="O13" s="27" t="n"/>
      <c r="P13" s="27" t="n"/>
      <c r="Q13" s="28" t="n"/>
      <c r="R13" s="27" t="n"/>
      <c r="S13" s="29" t="n"/>
      <c r="T13" s="27" t="n"/>
      <c r="U13" s="27" t="n"/>
      <c r="V13" s="26">
        <f>IF(OR(AND(E13&lt;&gt;"Up",E13&lt;&gt;"Down"),NOT(ISNUMBER(S13)),IF(E13="Up",Q13,R13)=""),"",IF(S13&gt;=100,"Back to open",IF(OR(IF(E13="Up",Q13,R13)="1-5 min",IF(E13="Up",Q13,R13)="5-15 min"),"Continued",IF(S13&gt;=50,"Partial retrace","Stalled / chop"))))</f>
        <v/>
      </c>
      <c r="W13" s="26">
        <f>IF(OR(Q13="",R13=""),"",IFERROR(IF(AND(Q13="Not by 16:00",R13="Not by 16:00"),"Neither taken",IF(FIND("|"&amp;Q13&amp;"|","|1-5 min|5-15 min|15-60 min|9:30-11:00|11:00-16:00|Not by 16:00|")=FIND("|"&amp;R13&amp;"|","|1-5 min|5-15 min|15-60 min|9:30-11:00|11:00-16:00|Not by 16:00|"),"Same window",IF(FIND("|"&amp;Q13&amp;"|","|1-5 min|5-15 min|15-60 min|9:30-11:00|11:00-16:00|Not by 16:00|")&lt;FIND("|"&amp;R13&amp;"|","|1-5 min|5-15 min|15-60 min|9:30-11:00|11:00-16:00|Not by 16:00|"),IF(E13="Up","High first (main side)",IF(E13="Down","High first (wick side)","High first")),IF(E13="Down","Low first (main side)",IF(E13="Up","Low first (wick side)","Low first"))))),"Check entries"))</f>
        <v/>
      </c>
      <c r="X13" s="28" t="n"/>
      <c r="Y13" s="27" t="n"/>
      <c r="Z13" s="27" t="n"/>
      <c r="AA13" s="27" t="n"/>
      <c r="AB13" s="27" t="n"/>
      <c r="AC13" s="27" t="n"/>
      <c r="AD13" s="27" t="n"/>
      <c r="AE13" s="28" t="n"/>
      <c r="AF13" s="30" t="n"/>
      <c r="AG13" s="27" t="n"/>
    </row>
    <row r="14">
      <c r="A14" s="25" t="n"/>
      <c r="B14" s="26">
        <f>IF(ISNUMBER(A14),TEXT(A14,"ddd"),"")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8" t="n"/>
      <c r="M14" s="26">
        <f>IF(OR(L14="",AND(E14&lt;&gt;"Up",E14&lt;&gt;"Down")),"",IF(OR(L14="In line",L14="Mixed"),"Neutral data",IF(OR(AND(L14="Hotter",E14="Down"),AND(L14="Cooler",E14="Up")),"With data","Against data")))</f>
        <v/>
      </c>
      <c r="N14" s="28" t="n"/>
      <c r="O14" s="27" t="n"/>
      <c r="P14" s="27" t="n"/>
      <c r="Q14" s="28" t="n"/>
      <c r="R14" s="27" t="n"/>
      <c r="S14" s="29" t="n"/>
      <c r="T14" s="27" t="n"/>
      <c r="U14" s="27" t="n"/>
      <c r="V14" s="26">
        <f>IF(OR(AND(E14&lt;&gt;"Up",E14&lt;&gt;"Down"),NOT(ISNUMBER(S14)),IF(E14="Up",Q14,R14)=""),"",IF(S14&gt;=100,"Back to open",IF(OR(IF(E14="Up",Q14,R14)="1-5 min",IF(E14="Up",Q14,R14)="5-15 min"),"Continued",IF(S14&gt;=50,"Partial retrace","Stalled / chop"))))</f>
        <v/>
      </c>
      <c r="W14" s="26">
        <f>IF(OR(Q14="",R14=""),"",IFERROR(IF(AND(Q14="Not by 16:00",R14="Not by 16:00"),"Neither taken",IF(FIND("|"&amp;Q14&amp;"|","|1-5 min|5-15 min|15-60 min|9:30-11:00|11:00-16:00|Not by 16:00|")=FIND("|"&amp;R14&amp;"|","|1-5 min|5-15 min|15-60 min|9:30-11:00|11:00-16:00|Not by 16:00|"),"Same window",IF(FIND("|"&amp;Q14&amp;"|","|1-5 min|5-15 min|15-60 min|9:30-11:00|11:00-16:00|Not by 16:00|")&lt;FIND("|"&amp;R14&amp;"|","|1-5 min|5-15 min|15-60 min|9:30-11:00|11:00-16:00|Not by 16:00|"),IF(E14="Up","High first (main side)",IF(E14="Down","High first (wick side)","High first")),IF(E14="Down","Low first (main side)",IF(E14="Up","Low first (wick side)","Low first"))))),"Check entries"))</f>
        <v/>
      </c>
      <c r="X14" s="28" t="n"/>
      <c r="Y14" s="27" t="n"/>
      <c r="Z14" s="27" t="n"/>
      <c r="AA14" s="27" t="n"/>
      <c r="AB14" s="27" t="n"/>
      <c r="AC14" s="27" t="n"/>
      <c r="AD14" s="27" t="n"/>
      <c r="AE14" s="28" t="n"/>
      <c r="AF14" s="30" t="n"/>
      <c r="AG14" s="27" t="n"/>
    </row>
    <row r="15">
      <c r="A15" s="25" t="n"/>
      <c r="B15" s="26">
        <f>IF(ISNUMBER(A15),TEXT(A15,"ddd"),"")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8" t="n"/>
      <c r="M15" s="26">
        <f>IF(OR(L15="",AND(E15&lt;&gt;"Up",E15&lt;&gt;"Down")),"",IF(OR(L15="In line",L15="Mixed"),"Neutral data",IF(OR(AND(L15="Hotter",E15="Down"),AND(L15="Cooler",E15="Up")),"With data","Against data")))</f>
        <v/>
      </c>
      <c r="N15" s="28" t="n"/>
      <c r="O15" s="27" t="n"/>
      <c r="P15" s="27" t="n"/>
      <c r="Q15" s="28" t="n"/>
      <c r="R15" s="27" t="n"/>
      <c r="S15" s="29" t="n"/>
      <c r="T15" s="27" t="n"/>
      <c r="U15" s="27" t="n"/>
      <c r="V15" s="26">
        <f>IF(OR(AND(E15&lt;&gt;"Up",E15&lt;&gt;"Down"),NOT(ISNUMBER(S15)),IF(E15="Up",Q15,R15)=""),"",IF(S15&gt;=100,"Back to open",IF(OR(IF(E15="Up",Q15,R15)="1-5 min",IF(E15="Up",Q15,R15)="5-15 min"),"Continued",IF(S15&gt;=50,"Partial retrace","Stalled / chop"))))</f>
        <v/>
      </c>
      <c r="W15" s="26">
        <f>IF(OR(Q15="",R15=""),"",IFERROR(IF(AND(Q15="Not by 16:00",R15="Not by 16:00"),"Neither taken",IF(FIND("|"&amp;Q15&amp;"|","|1-5 min|5-15 min|15-60 min|9:30-11:00|11:00-16:00|Not by 16:00|")=FIND("|"&amp;R15&amp;"|","|1-5 min|5-15 min|15-60 min|9:30-11:00|11:00-16:00|Not by 16:00|"),"Same window",IF(FIND("|"&amp;Q15&amp;"|","|1-5 min|5-15 min|15-60 min|9:30-11:00|11:00-16:00|Not by 16:00|")&lt;FIND("|"&amp;R15&amp;"|","|1-5 min|5-15 min|15-60 min|9:30-11:00|11:00-16:00|Not by 16:00|"),IF(E15="Up","High first (main side)",IF(E15="Down","High first (wick side)","High first")),IF(E15="Down","Low first (main side)",IF(E15="Up","Low first (wick side)","Low first"))))),"Check entries"))</f>
        <v/>
      </c>
      <c r="X15" s="28" t="n"/>
      <c r="Y15" s="27" t="n"/>
      <c r="Z15" s="27" t="n"/>
      <c r="AA15" s="27" t="n"/>
      <c r="AB15" s="27" t="n"/>
      <c r="AC15" s="27" t="n"/>
      <c r="AD15" s="27" t="n"/>
      <c r="AE15" s="28" t="n"/>
      <c r="AF15" s="30" t="n"/>
      <c r="AG15" s="27" t="n"/>
    </row>
    <row r="16">
      <c r="A16" s="25" t="n"/>
      <c r="B16" s="26">
        <f>IF(ISNUMBER(A16),TEXT(A16,"ddd"),"")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8" t="n"/>
      <c r="M16" s="26">
        <f>IF(OR(L16="",AND(E16&lt;&gt;"Up",E16&lt;&gt;"Down")),"",IF(OR(L16="In line",L16="Mixed"),"Neutral data",IF(OR(AND(L16="Hotter",E16="Down"),AND(L16="Cooler",E16="Up")),"With data","Against data")))</f>
        <v/>
      </c>
      <c r="N16" s="28" t="n"/>
      <c r="O16" s="27" t="n"/>
      <c r="P16" s="27" t="n"/>
      <c r="Q16" s="28" t="n"/>
      <c r="R16" s="27" t="n"/>
      <c r="S16" s="29" t="n"/>
      <c r="T16" s="27" t="n"/>
      <c r="U16" s="27" t="n"/>
      <c r="V16" s="26">
        <f>IF(OR(AND(E16&lt;&gt;"Up",E16&lt;&gt;"Down"),NOT(ISNUMBER(S16)),IF(E16="Up",Q16,R16)=""),"",IF(S16&gt;=100,"Back to open",IF(OR(IF(E16="Up",Q16,R16)="1-5 min",IF(E16="Up",Q16,R16)="5-15 min"),"Continued",IF(S16&gt;=50,"Partial retrace","Stalled / chop"))))</f>
        <v/>
      </c>
      <c r="W16" s="26">
        <f>IF(OR(Q16="",R16=""),"",IFERROR(IF(AND(Q16="Not by 16:00",R16="Not by 16:00"),"Neither taken",IF(FIND("|"&amp;Q16&amp;"|","|1-5 min|5-15 min|15-60 min|9:30-11:00|11:00-16:00|Not by 16:00|")=FIND("|"&amp;R16&amp;"|","|1-5 min|5-15 min|15-60 min|9:30-11:00|11:00-16:00|Not by 16:00|"),"Same window",IF(FIND("|"&amp;Q16&amp;"|","|1-5 min|5-15 min|15-60 min|9:30-11:00|11:00-16:00|Not by 16:00|")&lt;FIND("|"&amp;R16&amp;"|","|1-5 min|5-15 min|15-60 min|9:30-11:00|11:00-16:00|Not by 16:00|"),IF(E16="Up","High first (main side)",IF(E16="Down","High first (wick side)","High first")),IF(E16="Down","Low first (main side)",IF(E16="Up","Low first (wick side)","Low first"))))),"Check entries"))</f>
        <v/>
      </c>
      <c r="X16" s="28" t="n"/>
      <c r="Y16" s="27" t="n"/>
      <c r="Z16" s="27" t="n"/>
      <c r="AA16" s="27" t="n"/>
      <c r="AB16" s="27" t="n"/>
      <c r="AC16" s="27" t="n"/>
      <c r="AD16" s="27" t="n"/>
      <c r="AE16" s="28" t="n"/>
      <c r="AF16" s="30" t="n"/>
      <c r="AG16" s="27" t="n"/>
    </row>
    <row r="17">
      <c r="A17" s="25" t="n"/>
      <c r="B17" s="26">
        <f>IF(ISNUMBER(A17),TEXT(A17,"ddd"),"")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8" t="n"/>
      <c r="M17" s="26">
        <f>IF(OR(L17="",AND(E17&lt;&gt;"Up",E17&lt;&gt;"Down")),"",IF(OR(L17="In line",L17="Mixed"),"Neutral data",IF(OR(AND(L17="Hotter",E17="Down"),AND(L17="Cooler",E17="Up")),"With data","Against data")))</f>
        <v/>
      </c>
      <c r="N17" s="28" t="n"/>
      <c r="O17" s="27" t="n"/>
      <c r="P17" s="27" t="n"/>
      <c r="Q17" s="28" t="n"/>
      <c r="R17" s="27" t="n"/>
      <c r="S17" s="29" t="n"/>
      <c r="T17" s="27" t="n"/>
      <c r="U17" s="27" t="n"/>
      <c r="V17" s="26">
        <f>IF(OR(AND(E17&lt;&gt;"Up",E17&lt;&gt;"Down"),NOT(ISNUMBER(S17)),IF(E17="Up",Q17,R17)=""),"",IF(S17&gt;=100,"Back to open",IF(OR(IF(E17="Up",Q17,R17)="1-5 min",IF(E17="Up",Q17,R17)="5-15 min"),"Continued",IF(S17&gt;=50,"Partial retrace","Stalled / chop"))))</f>
        <v/>
      </c>
      <c r="W17" s="26">
        <f>IF(OR(Q17="",R17=""),"",IFERROR(IF(AND(Q17="Not by 16:00",R17="Not by 16:00"),"Neither taken",IF(FIND("|"&amp;Q17&amp;"|","|1-5 min|5-15 min|15-60 min|9:30-11:00|11:00-16:00|Not by 16:00|")=FIND("|"&amp;R17&amp;"|","|1-5 min|5-15 min|15-60 min|9:30-11:00|11:00-16:00|Not by 16:00|"),"Same window",IF(FIND("|"&amp;Q17&amp;"|","|1-5 min|5-15 min|15-60 min|9:30-11:00|11:00-16:00|Not by 16:00|")&lt;FIND("|"&amp;R17&amp;"|","|1-5 min|5-15 min|15-60 min|9:30-11:00|11:00-16:00|Not by 16:00|"),IF(E17="Up","High first (main side)",IF(E17="Down","High first (wick side)","High first")),IF(E17="Down","Low first (main side)",IF(E17="Up","Low first (wick side)","Low first"))))),"Check entries"))</f>
        <v/>
      </c>
      <c r="X17" s="28" t="n"/>
      <c r="Y17" s="27" t="n"/>
      <c r="Z17" s="27" t="n"/>
      <c r="AA17" s="27" t="n"/>
      <c r="AB17" s="27" t="n"/>
      <c r="AC17" s="27" t="n"/>
      <c r="AD17" s="27" t="n"/>
      <c r="AE17" s="28" t="n"/>
      <c r="AF17" s="30" t="n"/>
      <c r="AG17" s="27" t="n"/>
    </row>
    <row r="18">
      <c r="A18" s="25" t="n"/>
      <c r="B18" s="26">
        <f>IF(ISNUMBER(A18),TEXT(A18,"ddd"),"")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8" t="n"/>
      <c r="M18" s="26">
        <f>IF(OR(L18="",AND(E18&lt;&gt;"Up",E18&lt;&gt;"Down")),"",IF(OR(L18="In line",L18="Mixed"),"Neutral data",IF(OR(AND(L18="Hotter",E18="Down"),AND(L18="Cooler",E18="Up")),"With data","Against data")))</f>
        <v/>
      </c>
      <c r="N18" s="28" t="n"/>
      <c r="O18" s="27" t="n"/>
      <c r="P18" s="27" t="n"/>
      <c r="Q18" s="28" t="n"/>
      <c r="R18" s="27" t="n"/>
      <c r="S18" s="29" t="n"/>
      <c r="T18" s="27" t="n"/>
      <c r="U18" s="27" t="n"/>
      <c r="V18" s="26">
        <f>IF(OR(AND(E18&lt;&gt;"Up",E18&lt;&gt;"Down"),NOT(ISNUMBER(S18)),IF(E18="Up",Q18,R18)=""),"",IF(S18&gt;=100,"Back to open",IF(OR(IF(E18="Up",Q18,R18)="1-5 min",IF(E18="Up",Q18,R18)="5-15 min"),"Continued",IF(S18&gt;=50,"Partial retrace","Stalled / chop"))))</f>
        <v/>
      </c>
      <c r="W18" s="26">
        <f>IF(OR(Q18="",R18=""),"",IFERROR(IF(AND(Q18="Not by 16:00",R18="Not by 16:00"),"Neither taken",IF(FIND("|"&amp;Q18&amp;"|","|1-5 min|5-15 min|15-60 min|9:30-11:00|11:00-16:00|Not by 16:00|")=FIND("|"&amp;R18&amp;"|","|1-5 min|5-15 min|15-60 min|9:30-11:00|11:00-16:00|Not by 16:00|"),"Same window",IF(FIND("|"&amp;Q18&amp;"|","|1-5 min|5-15 min|15-60 min|9:30-11:00|11:00-16:00|Not by 16:00|")&lt;FIND("|"&amp;R18&amp;"|","|1-5 min|5-15 min|15-60 min|9:30-11:00|11:00-16:00|Not by 16:00|"),IF(E18="Up","High first (main side)",IF(E18="Down","High first (wick side)","High first")),IF(E18="Down","Low first (main side)",IF(E18="Up","Low first (wick side)","Low first"))))),"Check entries"))</f>
        <v/>
      </c>
      <c r="X18" s="28" t="n"/>
      <c r="Y18" s="27" t="n"/>
      <c r="Z18" s="27" t="n"/>
      <c r="AA18" s="27" t="n"/>
      <c r="AB18" s="27" t="n"/>
      <c r="AC18" s="27" t="n"/>
      <c r="AD18" s="27" t="n"/>
      <c r="AE18" s="28" t="n"/>
      <c r="AF18" s="30" t="n"/>
      <c r="AG18" s="27" t="n"/>
    </row>
    <row r="19">
      <c r="A19" s="25" t="n"/>
      <c r="B19" s="26">
        <f>IF(ISNUMBER(A19),TEXT(A19,"ddd"),"")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n"/>
      <c r="M19" s="26">
        <f>IF(OR(L19="",AND(E19&lt;&gt;"Up",E19&lt;&gt;"Down")),"",IF(OR(L19="In line",L19="Mixed"),"Neutral data",IF(OR(AND(L19="Hotter",E19="Down"),AND(L19="Cooler",E19="Up")),"With data","Against data")))</f>
        <v/>
      </c>
      <c r="N19" s="28" t="n"/>
      <c r="O19" s="27" t="n"/>
      <c r="P19" s="27" t="n"/>
      <c r="Q19" s="28" t="n"/>
      <c r="R19" s="27" t="n"/>
      <c r="S19" s="29" t="n"/>
      <c r="T19" s="27" t="n"/>
      <c r="U19" s="27" t="n"/>
      <c r="V19" s="26">
        <f>IF(OR(AND(E19&lt;&gt;"Up",E19&lt;&gt;"Down"),NOT(ISNUMBER(S19)),IF(E19="Up",Q19,R19)=""),"",IF(S19&gt;=100,"Back to open",IF(OR(IF(E19="Up",Q19,R19)="1-5 min",IF(E19="Up",Q19,R19)="5-15 min"),"Continued",IF(S19&gt;=50,"Partial retrace","Stalled / chop"))))</f>
        <v/>
      </c>
      <c r="W19" s="26">
        <f>IF(OR(Q19="",R19=""),"",IFERROR(IF(AND(Q19="Not by 16:00",R19="Not by 16:00"),"Neither taken",IF(FIND("|"&amp;Q19&amp;"|","|1-5 min|5-15 min|15-60 min|9:30-11:00|11:00-16:00|Not by 16:00|")=FIND("|"&amp;R19&amp;"|","|1-5 min|5-15 min|15-60 min|9:30-11:00|11:00-16:00|Not by 16:00|"),"Same window",IF(FIND("|"&amp;Q19&amp;"|","|1-5 min|5-15 min|15-60 min|9:30-11:00|11:00-16:00|Not by 16:00|")&lt;FIND("|"&amp;R19&amp;"|","|1-5 min|5-15 min|15-60 min|9:30-11:00|11:00-16:00|Not by 16:00|"),IF(E19="Up","High first (main side)",IF(E19="Down","High first (wick side)","High first")),IF(E19="Down","Low first (main side)",IF(E19="Up","Low first (wick side)","Low first"))))),"Check entries"))</f>
        <v/>
      </c>
      <c r="X19" s="28" t="n"/>
      <c r="Y19" s="27" t="n"/>
      <c r="Z19" s="27" t="n"/>
      <c r="AA19" s="27" t="n"/>
      <c r="AB19" s="27" t="n"/>
      <c r="AC19" s="27" t="n"/>
      <c r="AD19" s="27" t="n"/>
      <c r="AE19" s="28" t="n"/>
      <c r="AF19" s="30" t="n"/>
      <c r="AG19" s="27" t="n"/>
    </row>
    <row r="20">
      <c r="A20" s="25" t="n"/>
      <c r="B20" s="26">
        <f>IF(ISNUMBER(A20),TEXT(A20,"ddd"),"")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n"/>
      <c r="M20" s="26">
        <f>IF(OR(L20="",AND(E20&lt;&gt;"Up",E20&lt;&gt;"Down")),"",IF(OR(L20="In line",L20="Mixed"),"Neutral data",IF(OR(AND(L20="Hotter",E20="Down"),AND(L20="Cooler",E20="Up")),"With data","Against data")))</f>
        <v/>
      </c>
      <c r="N20" s="28" t="n"/>
      <c r="O20" s="27" t="n"/>
      <c r="P20" s="27" t="n"/>
      <c r="Q20" s="28" t="n"/>
      <c r="R20" s="27" t="n"/>
      <c r="S20" s="29" t="n"/>
      <c r="T20" s="27" t="n"/>
      <c r="U20" s="27" t="n"/>
      <c r="V20" s="26">
        <f>IF(OR(AND(E20&lt;&gt;"Up",E20&lt;&gt;"Down"),NOT(ISNUMBER(S20)),IF(E20="Up",Q20,R20)=""),"",IF(S20&gt;=100,"Back to open",IF(OR(IF(E20="Up",Q20,R20)="1-5 min",IF(E20="Up",Q20,R20)="5-15 min"),"Continued",IF(S20&gt;=50,"Partial retrace","Stalled / chop"))))</f>
        <v/>
      </c>
      <c r="W20" s="26">
        <f>IF(OR(Q20="",R20=""),"",IFERROR(IF(AND(Q20="Not by 16:00",R20="Not by 16:00"),"Neither taken",IF(FIND("|"&amp;Q20&amp;"|","|1-5 min|5-15 min|15-60 min|9:30-11:00|11:00-16:00|Not by 16:00|")=FIND("|"&amp;R20&amp;"|","|1-5 min|5-15 min|15-60 min|9:30-11:00|11:00-16:00|Not by 16:00|"),"Same window",IF(FIND("|"&amp;Q20&amp;"|","|1-5 min|5-15 min|15-60 min|9:30-11:00|11:00-16:00|Not by 16:00|")&lt;FIND("|"&amp;R20&amp;"|","|1-5 min|5-15 min|15-60 min|9:30-11:00|11:00-16:00|Not by 16:00|"),IF(E20="Up","High first (main side)",IF(E20="Down","High first (wick side)","High first")),IF(E20="Down","Low first (main side)",IF(E20="Up","Low first (wick side)","Low first"))))),"Check entries"))</f>
        <v/>
      </c>
      <c r="X20" s="28" t="n"/>
      <c r="Y20" s="27" t="n"/>
      <c r="Z20" s="27" t="n"/>
      <c r="AA20" s="27" t="n"/>
      <c r="AB20" s="27" t="n"/>
      <c r="AC20" s="27" t="n"/>
      <c r="AD20" s="27" t="n"/>
      <c r="AE20" s="28" t="n"/>
      <c r="AF20" s="30" t="n"/>
      <c r="AG20" s="27" t="n"/>
    </row>
    <row r="21">
      <c r="A21" s="25" t="n"/>
      <c r="B21" s="26">
        <f>IF(ISNUMBER(A21),TEXT(A21,"ddd"),"")</f>
        <v/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  <c r="M21" s="26">
        <f>IF(OR(L21="",AND(E21&lt;&gt;"Up",E21&lt;&gt;"Down")),"",IF(OR(L21="In line",L21="Mixed"),"Neutral data",IF(OR(AND(L21="Hotter",E21="Down"),AND(L21="Cooler",E21="Up")),"With data","Against data")))</f>
        <v/>
      </c>
      <c r="N21" s="28" t="n"/>
      <c r="O21" s="27" t="n"/>
      <c r="P21" s="27" t="n"/>
      <c r="Q21" s="28" t="n"/>
      <c r="R21" s="27" t="n"/>
      <c r="S21" s="29" t="n"/>
      <c r="T21" s="27" t="n"/>
      <c r="U21" s="27" t="n"/>
      <c r="V21" s="26">
        <f>IF(OR(AND(E21&lt;&gt;"Up",E21&lt;&gt;"Down"),NOT(ISNUMBER(S21)),IF(E21="Up",Q21,R21)=""),"",IF(S21&gt;=100,"Back to open",IF(OR(IF(E21="Up",Q21,R21)="1-5 min",IF(E21="Up",Q21,R21)="5-15 min"),"Continued",IF(S21&gt;=50,"Partial retrace","Stalled / chop"))))</f>
        <v/>
      </c>
      <c r="W21" s="26">
        <f>IF(OR(Q21="",R21=""),"",IFERROR(IF(AND(Q21="Not by 16:00",R21="Not by 16:00"),"Neither taken",IF(FIND("|"&amp;Q21&amp;"|","|1-5 min|5-15 min|15-60 min|9:30-11:00|11:00-16:00|Not by 16:00|")=FIND("|"&amp;R21&amp;"|","|1-5 min|5-15 min|15-60 min|9:30-11:00|11:00-16:00|Not by 16:00|"),"Same window",IF(FIND("|"&amp;Q21&amp;"|","|1-5 min|5-15 min|15-60 min|9:30-11:00|11:00-16:00|Not by 16:00|")&lt;FIND("|"&amp;R21&amp;"|","|1-5 min|5-15 min|15-60 min|9:30-11:00|11:00-16:00|Not by 16:00|"),IF(E21="Up","High first (main side)",IF(E21="Down","High first (wick side)","High first")),IF(E21="Down","Low first (main side)",IF(E21="Up","Low first (wick side)","Low first"))))),"Check entries"))</f>
        <v/>
      </c>
      <c r="X21" s="28" t="n"/>
      <c r="Y21" s="27" t="n"/>
      <c r="Z21" s="27" t="n"/>
      <c r="AA21" s="27" t="n"/>
      <c r="AB21" s="27" t="n"/>
      <c r="AC21" s="27" t="n"/>
      <c r="AD21" s="27" t="n"/>
      <c r="AE21" s="28" t="n"/>
      <c r="AF21" s="30" t="n"/>
      <c r="AG21" s="27" t="n"/>
    </row>
    <row r="22">
      <c r="A22" s="25" t="n"/>
      <c r="B22" s="26">
        <f>IF(ISNUMBER(A22),TEXT(A22,"ddd"),"")</f>
        <v/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  <c r="M22" s="26">
        <f>IF(OR(L22="",AND(E22&lt;&gt;"Up",E22&lt;&gt;"Down")),"",IF(OR(L22="In line",L22="Mixed"),"Neutral data",IF(OR(AND(L22="Hotter",E22="Down"),AND(L22="Cooler",E22="Up")),"With data","Against data")))</f>
        <v/>
      </c>
      <c r="N22" s="28" t="n"/>
      <c r="O22" s="27" t="n"/>
      <c r="P22" s="27" t="n"/>
      <c r="Q22" s="28" t="n"/>
      <c r="R22" s="27" t="n"/>
      <c r="S22" s="29" t="n"/>
      <c r="T22" s="27" t="n"/>
      <c r="U22" s="27" t="n"/>
      <c r="V22" s="26">
        <f>IF(OR(AND(E22&lt;&gt;"Up",E22&lt;&gt;"Down"),NOT(ISNUMBER(S22)),IF(E22="Up",Q22,R22)=""),"",IF(S22&gt;=100,"Back to open",IF(OR(IF(E22="Up",Q22,R22)="1-5 min",IF(E22="Up",Q22,R22)="5-15 min"),"Continued",IF(S22&gt;=50,"Partial retrace","Stalled / chop"))))</f>
        <v/>
      </c>
      <c r="W22" s="26">
        <f>IF(OR(Q22="",R22=""),"",IFERROR(IF(AND(Q22="Not by 16:00",R22="Not by 16:00"),"Neither taken",IF(FIND("|"&amp;Q22&amp;"|","|1-5 min|5-15 min|15-60 min|9:30-11:00|11:00-16:00|Not by 16:00|")=FIND("|"&amp;R22&amp;"|","|1-5 min|5-15 min|15-60 min|9:30-11:00|11:00-16:00|Not by 16:00|"),"Same window",IF(FIND("|"&amp;Q22&amp;"|","|1-5 min|5-15 min|15-60 min|9:30-11:00|11:00-16:00|Not by 16:00|")&lt;FIND("|"&amp;R22&amp;"|","|1-5 min|5-15 min|15-60 min|9:30-11:00|11:00-16:00|Not by 16:00|"),IF(E22="Up","High first (main side)",IF(E22="Down","High first (wick side)","High first")),IF(E22="Down","Low first (main side)",IF(E22="Up","Low first (wick side)","Low first"))))),"Check entries"))</f>
        <v/>
      </c>
      <c r="X22" s="28" t="n"/>
      <c r="Y22" s="27" t="n"/>
      <c r="Z22" s="27" t="n"/>
      <c r="AA22" s="27" t="n"/>
      <c r="AB22" s="27" t="n"/>
      <c r="AC22" s="27" t="n"/>
      <c r="AD22" s="27" t="n"/>
      <c r="AE22" s="28" t="n"/>
      <c r="AF22" s="30" t="n"/>
      <c r="AG22" s="27" t="n"/>
    </row>
    <row r="23">
      <c r="A23" s="25" t="n"/>
      <c r="B23" s="26">
        <f>IF(ISNUMBER(A23),TEXT(A23,"ddd"),"")</f>
        <v/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  <c r="M23" s="26">
        <f>IF(OR(L23="",AND(E23&lt;&gt;"Up",E23&lt;&gt;"Down")),"",IF(OR(L23="In line",L23="Mixed"),"Neutral data",IF(OR(AND(L23="Hotter",E23="Down"),AND(L23="Cooler",E23="Up")),"With data","Against data")))</f>
        <v/>
      </c>
      <c r="N23" s="28" t="n"/>
      <c r="O23" s="27" t="n"/>
      <c r="P23" s="27" t="n"/>
      <c r="Q23" s="28" t="n"/>
      <c r="R23" s="27" t="n"/>
      <c r="S23" s="29" t="n"/>
      <c r="T23" s="27" t="n"/>
      <c r="U23" s="27" t="n"/>
      <c r="V23" s="26">
        <f>IF(OR(AND(E23&lt;&gt;"Up",E23&lt;&gt;"Down"),NOT(ISNUMBER(S23)),IF(E23="Up",Q23,R23)=""),"",IF(S23&gt;=100,"Back to open",IF(OR(IF(E23="Up",Q23,R23)="1-5 min",IF(E23="Up",Q23,R23)="5-15 min"),"Continued",IF(S23&gt;=50,"Partial retrace","Stalled / chop"))))</f>
        <v/>
      </c>
      <c r="W23" s="26">
        <f>IF(OR(Q23="",R23=""),"",IFERROR(IF(AND(Q23="Not by 16:00",R23="Not by 16:00"),"Neither taken",IF(FIND("|"&amp;Q23&amp;"|","|1-5 min|5-15 min|15-60 min|9:30-11:00|11:00-16:00|Not by 16:00|")=FIND("|"&amp;R23&amp;"|","|1-5 min|5-15 min|15-60 min|9:30-11:00|11:00-16:00|Not by 16:00|"),"Same window",IF(FIND("|"&amp;Q23&amp;"|","|1-5 min|5-15 min|15-60 min|9:30-11:00|11:00-16:00|Not by 16:00|")&lt;FIND("|"&amp;R23&amp;"|","|1-5 min|5-15 min|15-60 min|9:30-11:00|11:00-16:00|Not by 16:00|"),IF(E23="Up","High first (main side)",IF(E23="Down","High first (wick side)","High first")),IF(E23="Down","Low first (main side)",IF(E23="Up","Low first (wick side)","Low first"))))),"Check entries"))</f>
        <v/>
      </c>
      <c r="X23" s="28" t="n"/>
      <c r="Y23" s="27" t="n"/>
      <c r="Z23" s="27" t="n"/>
      <c r="AA23" s="27" t="n"/>
      <c r="AB23" s="27" t="n"/>
      <c r="AC23" s="27" t="n"/>
      <c r="AD23" s="27" t="n"/>
      <c r="AE23" s="28" t="n"/>
      <c r="AF23" s="30" t="n"/>
      <c r="AG23" s="27" t="n"/>
    </row>
    <row r="24">
      <c r="A24" s="25" t="n"/>
      <c r="B24" s="26">
        <f>IF(ISNUMBER(A24),TEXT(A24,"ddd"),"")</f>
        <v/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n"/>
      <c r="M24" s="26">
        <f>IF(OR(L24="",AND(E24&lt;&gt;"Up",E24&lt;&gt;"Down")),"",IF(OR(L24="In line",L24="Mixed"),"Neutral data",IF(OR(AND(L24="Hotter",E24="Down"),AND(L24="Cooler",E24="Up")),"With data","Against data")))</f>
        <v/>
      </c>
      <c r="N24" s="28" t="n"/>
      <c r="O24" s="27" t="n"/>
      <c r="P24" s="27" t="n"/>
      <c r="Q24" s="28" t="n"/>
      <c r="R24" s="27" t="n"/>
      <c r="S24" s="29" t="n"/>
      <c r="T24" s="27" t="n"/>
      <c r="U24" s="27" t="n"/>
      <c r="V24" s="26">
        <f>IF(OR(AND(E24&lt;&gt;"Up",E24&lt;&gt;"Down"),NOT(ISNUMBER(S24)),IF(E24="Up",Q24,R24)=""),"",IF(S24&gt;=100,"Back to open",IF(OR(IF(E24="Up",Q24,R24)="1-5 min",IF(E24="Up",Q24,R24)="5-15 min"),"Continued",IF(S24&gt;=50,"Partial retrace","Stalled / chop"))))</f>
        <v/>
      </c>
      <c r="W24" s="26">
        <f>IF(OR(Q24="",R24=""),"",IFERROR(IF(AND(Q24="Not by 16:00",R24="Not by 16:00"),"Neither taken",IF(FIND("|"&amp;Q24&amp;"|","|1-5 min|5-15 min|15-60 min|9:30-11:00|11:00-16:00|Not by 16:00|")=FIND("|"&amp;R24&amp;"|","|1-5 min|5-15 min|15-60 min|9:30-11:00|11:00-16:00|Not by 16:00|"),"Same window",IF(FIND("|"&amp;Q24&amp;"|","|1-5 min|5-15 min|15-60 min|9:30-11:00|11:00-16:00|Not by 16:00|")&lt;FIND("|"&amp;R24&amp;"|","|1-5 min|5-15 min|15-60 min|9:30-11:00|11:00-16:00|Not by 16:00|"),IF(E24="Up","High first (main side)",IF(E24="Down","High first (wick side)","High first")),IF(E24="Down","Low first (main side)",IF(E24="Up","Low first (wick side)","Low first"))))),"Check entries"))</f>
        <v/>
      </c>
      <c r="X24" s="28" t="n"/>
      <c r="Y24" s="27" t="n"/>
      <c r="Z24" s="27" t="n"/>
      <c r="AA24" s="27" t="n"/>
      <c r="AB24" s="27" t="n"/>
      <c r="AC24" s="27" t="n"/>
      <c r="AD24" s="27" t="n"/>
      <c r="AE24" s="28" t="n"/>
      <c r="AF24" s="30" t="n"/>
      <c r="AG24" s="27" t="n"/>
    </row>
    <row r="25">
      <c r="A25" s="25" t="n"/>
      <c r="B25" s="26">
        <f>IF(ISNUMBER(A25),TEXT(A25,"ddd"),"")</f>
        <v/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  <c r="M25" s="26">
        <f>IF(OR(L25="",AND(E25&lt;&gt;"Up",E25&lt;&gt;"Down")),"",IF(OR(L25="In line",L25="Mixed"),"Neutral data",IF(OR(AND(L25="Hotter",E25="Down"),AND(L25="Cooler",E25="Up")),"With data","Against data")))</f>
        <v/>
      </c>
      <c r="N25" s="28" t="n"/>
      <c r="O25" s="27" t="n"/>
      <c r="P25" s="27" t="n"/>
      <c r="Q25" s="28" t="n"/>
      <c r="R25" s="27" t="n"/>
      <c r="S25" s="29" t="n"/>
      <c r="T25" s="27" t="n"/>
      <c r="U25" s="27" t="n"/>
      <c r="V25" s="26">
        <f>IF(OR(AND(E25&lt;&gt;"Up",E25&lt;&gt;"Down"),NOT(ISNUMBER(S25)),IF(E25="Up",Q25,R25)=""),"",IF(S25&gt;=100,"Back to open",IF(OR(IF(E25="Up",Q25,R25)="1-5 min",IF(E25="Up",Q25,R25)="5-15 min"),"Continued",IF(S25&gt;=50,"Partial retrace","Stalled / chop"))))</f>
        <v/>
      </c>
      <c r="W25" s="26">
        <f>IF(OR(Q25="",R25=""),"",IFERROR(IF(AND(Q25="Not by 16:00",R25="Not by 16:00"),"Neither taken",IF(FIND("|"&amp;Q25&amp;"|","|1-5 min|5-15 min|15-60 min|9:30-11:00|11:00-16:00|Not by 16:00|")=FIND("|"&amp;R25&amp;"|","|1-5 min|5-15 min|15-60 min|9:30-11:00|11:00-16:00|Not by 16:00|"),"Same window",IF(FIND("|"&amp;Q25&amp;"|","|1-5 min|5-15 min|15-60 min|9:30-11:00|11:00-16:00|Not by 16:00|")&lt;FIND("|"&amp;R25&amp;"|","|1-5 min|5-15 min|15-60 min|9:30-11:00|11:00-16:00|Not by 16:00|"),IF(E25="Up","High first (main side)",IF(E25="Down","High first (wick side)","High first")),IF(E25="Down","Low first (main side)",IF(E25="Up","Low first (wick side)","Low first"))))),"Check entries"))</f>
        <v/>
      </c>
      <c r="X25" s="28" t="n"/>
      <c r="Y25" s="27" t="n"/>
      <c r="Z25" s="27" t="n"/>
      <c r="AA25" s="27" t="n"/>
      <c r="AB25" s="27" t="n"/>
      <c r="AC25" s="27" t="n"/>
      <c r="AD25" s="27" t="n"/>
      <c r="AE25" s="28" t="n"/>
      <c r="AF25" s="30" t="n"/>
      <c r="AG25" s="27" t="n"/>
    </row>
    <row r="26">
      <c r="A26" s="25" t="n"/>
      <c r="B26" s="26">
        <f>IF(ISNUMBER(A26),TEXT(A26,"ddd"),"")</f>
        <v/>
      </c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n"/>
      <c r="M26" s="26">
        <f>IF(OR(L26="",AND(E26&lt;&gt;"Up",E26&lt;&gt;"Down")),"",IF(OR(L26="In line",L26="Mixed"),"Neutral data",IF(OR(AND(L26="Hotter",E26="Down"),AND(L26="Cooler",E26="Up")),"With data","Against data")))</f>
        <v/>
      </c>
      <c r="N26" s="28" t="n"/>
      <c r="O26" s="27" t="n"/>
      <c r="P26" s="27" t="n"/>
      <c r="Q26" s="28" t="n"/>
      <c r="R26" s="27" t="n"/>
      <c r="S26" s="29" t="n"/>
      <c r="T26" s="27" t="n"/>
      <c r="U26" s="27" t="n"/>
      <c r="V26" s="26">
        <f>IF(OR(AND(E26&lt;&gt;"Up",E26&lt;&gt;"Down"),NOT(ISNUMBER(S26)),IF(E26="Up",Q26,R26)=""),"",IF(S26&gt;=100,"Back to open",IF(OR(IF(E26="Up",Q26,R26)="1-5 min",IF(E26="Up",Q26,R26)="5-15 min"),"Continued",IF(S26&gt;=50,"Partial retrace","Stalled / chop"))))</f>
        <v/>
      </c>
      <c r="W26" s="26">
        <f>IF(OR(Q26="",R26=""),"",IFERROR(IF(AND(Q26="Not by 16:00",R26="Not by 16:00"),"Neither taken",IF(FIND("|"&amp;Q26&amp;"|","|1-5 min|5-15 min|15-60 min|9:30-11:00|11:00-16:00|Not by 16:00|")=FIND("|"&amp;R26&amp;"|","|1-5 min|5-15 min|15-60 min|9:30-11:00|11:00-16:00|Not by 16:00|"),"Same window",IF(FIND("|"&amp;Q26&amp;"|","|1-5 min|5-15 min|15-60 min|9:30-11:00|11:00-16:00|Not by 16:00|")&lt;FIND("|"&amp;R26&amp;"|","|1-5 min|5-15 min|15-60 min|9:30-11:00|11:00-16:00|Not by 16:00|"),IF(E26="Up","High first (main side)",IF(E26="Down","High first (wick side)","High first")),IF(E26="Down","Low first (main side)",IF(E26="Up","Low first (wick side)","Low first"))))),"Check entries"))</f>
        <v/>
      </c>
      <c r="X26" s="28" t="n"/>
      <c r="Y26" s="27" t="n"/>
      <c r="Z26" s="27" t="n"/>
      <c r="AA26" s="27" t="n"/>
      <c r="AB26" s="27" t="n"/>
      <c r="AC26" s="27" t="n"/>
      <c r="AD26" s="27" t="n"/>
      <c r="AE26" s="28" t="n"/>
      <c r="AF26" s="30" t="n"/>
      <c r="AG26" s="27" t="n"/>
    </row>
    <row r="27">
      <c r="A27" s="25" t="n"/>
      <c r="B27" s="26">
        <f>IF(ISNUMBER(A27),TEXT(A27,"ddd"),"")</f>
        <v/>
      </c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  <c r="M27" s="26">
        <f>IF(OR(L27="",AND(E27&lt;&gt;"Up",E27&lt;&gt;"Down")),"",IF(OR(L27="In line",L27="Mixed"),"Neutral data",IF(OR(AND(L27="Hotter",E27="Down"),AND(L27="Cooler",E27="Up")),"With data","Against data")))</f>
        <v/>
      </c>
      <c r="N27" s="28" t="n"/>
      <c r="O27" s="27" t="n"/>
      <c r="P27" s="27" t="n"/>
      <c r="Q27" s="28" t="n"/>
      <c r="R27" s="27" t="n"/>
      <c r="S27" s="29" t="n"/>
      <c r="T27" s="27" t="n"/>
      <c r="U27" s="27" t="n"/>
      <c r="V27" s="26">
        <f>IF(OR(AND(E27&lt;&gt;"Up",E27&lt;&gt;"Down"),NOT(ISNUMBER(S27)),IF(E27="Up",Q27,R27)=""),"",IF(S27&gt;=100,"Back to open",IF(OR(IF(E27="Up",Q27,R27)="1-5 min",IF(E27="Up",Q27,R27)="5-15 min"),"Continued",IF(S27&gt;=50,"Partial retrace","Stalled / chop"))))</f>
        <v/>
      </c>
      <c r="W27" s="26">
        <f>IF(OR(Q27="",R27=""),"",IFERROR(IF(AND(Q27="Not by 16:00",R27="Not by 16:00"),"Neither taken",IF(FIND("|"&amp;Q27&amp;"|","|1-5 min|5-15 min|15-60 min|9:30-11:00|11:00-16:00|Not by 16:00|")=FIND("|"&amp;R27&amp;"|","|1-5 min|5-15 min|15-60 min|9:30-11:00|11:00-16:00|Not by 16:00|"),"Same window",IF(FIND("|"&amp;Q27&amp;"|","|1-5 min|5-15 min|15-60 min|9:30-11:00|11:00-16:00|Not by 16:00|")&lt;FIND("|"&amp;R27&amp;"|","|1-5 min|5-15 min|15-60 min|9:30-11:00|11:00-16:00|Not by 16:00|"),IF(E27="Up","High first (main side)",IF(E27="Down","High first (wick side)","High first")),IF(E27="Down","Low first (main side)",IF(E27="Up","Low first (wick side)","Low first"))))),"Check entries"))</f>
        <v/>
      </c>
      <c r="X27" s="28" t="n"/>
      <c r="Y27" s="27" t="n"/>
      <c r="Z27" s="27" t="n"/>
      <c r="AA27" s="27" t="n"/>
      <c r="AB27" s="27" t="n"/>
      <c r="AC27" s="27" t="n"/>
      <c r="AD27" s="27" t="n"/>
      <c r="AE27" s="28" t="n"/>
      <c r="AF27" s="30" t="n"/>
      <c r="AG27" s="27" t="n"/>
    </row>
    <row r="28">
      <c r="A28" s="25" t="n"/>
      <c r="B28" s="26">
        <f>IF(ISNUMBER(A28),TEXT(A28,"ddd"),"")</f>
        <v/>
      </c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n"/>
      <c r="M28" s="26">
        <f>IF(OR(L28="",AND(E28&lt;&gt;"Up",E28&lt;&gt;"Down")),"",IF(OR(L28="In line",L28="Mixed"),"Neutral data",IF(OR(AND(L28="Hotter",E28="Down"),AND(L28="Cooler",E28="Up")),"With data","Against data")))</f>
        <v/>
      </c>
      <c r="N28" s="28" t="n"/>
      <c r="O28" s="27" t="n"/>
      <c r="P28" s="27" t="n"/>
      <c r="Q28" s="28" t="n"/>
      <c r="R28" s="27" t="n"/>
      <c r="S28" s="29" t="n"/>
      <c r="T28" s="27" t="n"/>
      <c r="U28" s="27" t="n"/>
      <c r="V28" s="26">
        <f>IF(OR(AND(E28&lt;&gt;"Up",E28&lt;&gt;"Down"),NOT(ISNUMBER(S28)),IF(E28="Up",Q28,R28)=""),"",IF(S28&gt;=100,"Back to open",IF(OR(IF(E28="Up",Q28,R28)="1-5 min",IF(E28="Up",Q28,R28)="5-15 min"),"Continued",IF(S28&gt;=50,"Partial retrace","Stalled / chop"))))</f>
        <v/>
      </c>
      <c r="W28" s="26">
        <f>IF(OR(Q28="",R28=""),"",IFERROR(IF(AND(Q28="Not by 16:00",R28="Not by 16:00"),"Neither taken",IF(FIND("|"&amp;Q28&amp;"|","|1-5 min|5-15 min|15-60 min|9:30-11:00|11:00-16:00|Not by 16:00|")=FIND("|"&amp;R28&amp;"|","|1-5 min|5-15 min|15-60 min|9:30-11:00|11:00-16:00|Not by 16:00|"),"Same window",IF(FIND("|"&amp;Q28&amp;"|","|1-5 min|5-15 min|15-60 min|9:30-11:00|11:00-16:00|Not by 16:00|")&lt;FIND("|"&amp;R28&amp;"|","|1-5 min|5-15 min|15-60 min|9:30-11:00|11:00-16:00|Not by 16:00|"),IF(E28="Up","High first (main side)",IF(E28="Down","High first (wick side)","High first")),IF(E28="Down","Low first (main side)",IF(E28="Up","Low first (wick side)","Low first"))))),"Check entries"))</f>
        <v/>
      </c>
      <c r="X28" s="28" t="n"/>
      <c r="Y28" s="27" t="n"/>
      <c r="Z28" s="27" t="n"/>
      <c r="AA28" s="27" t="n"/>
      <c r="AB28" s="27" t="n"/>
      <c r="AC28" s="27" t="n"/>
      <c r="AD28" s="27" t="n"/>
      <c r="AE28" s="28" t="n"/>
      <c r="AF28" s="30" t="n"/>
      <c r="AG28" s="27" t="n"/>
    </row>
    <row r="29">
      <c r="A29" s="25" t="n"/>
      <c r="B29" s="26">
        <f>IF(ISNUMBER(A29),TEXT(A29,"ddd"),"")</f>
        <v/>
      </c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  <c r="M29" s="26">
        <f>IF(OR(L29="",AND(E29&lt;&gt;"Up",E29&lt;&gt;"Down")),"",IF(OR(L29="In line",L29="Mixed"),"Neutral data",IF(OR(AND(L29="Hotter",E29="Down"),AND(L29="Cooler",E29="Up")),"With data","Against data")))</f>
        <v/>
      </c>
      <c r="N29" s="28" t="n"/>
      <c r="O29" s="27" t="n"/>
      <c r="P29" s="27" t="n"/>
      <c r="Q29" s="28" t="n"/>
      <c r="R29" s="27" t="n"/>
      <c r="S29" s="29" t="n"/>
      <c r="T29" s="27" t="n"/>
      <c r="U29" s="27" t="n"/>
      <c r="V29" s="26">
        <f>IF(OR(AND(E29&lt;&gt;"Up",E29&lt;&gt;"Down"),NOT(ISNUMBER(S29)),IF(E29="Up",Q29,R29)=""),"",IF(S29&gt;=100,"Back to open",IF(OR(IF(E29="Up",Q29,R29)="1-5 min",IF(E29="Up",Q29,R29)="5-15 min"),"Continued",IF(S29&gt;=50,"Partial retrace","Stalled / chop"))))</f>
        <v/>
      </c>
      <c r="W29" s="26">
        <f>IF(OR(Q29="",R29=""),"",IFERROR(IF(AND(Q29="Not by 16:00",R29="Not by 16:00"),"Neither taken",IF(FIND("|"&amp;Q29&amp;"|","|1-5 min|5-15 min|15-60 min|9:30-11:00|11:00-16:00|Not by 16:00|")=FIND("|"&amp;R29&amp;"|","|1-5 min|5-15 min|15-60 min|9:30-11:00|11:00-16:00|Not by 16:00|"),"Same window",IF(FIND("|"&amp;Q29&amp;"|","|1-5 min|5-15 min|15-60 min|9:30-11:00|11:00-16:00|Not by 16:00|")&lt;FIND("|"&amp;R29&amp;"|","|1-5 min|5-15 min|15-60 min|9:30-11:00|11:00-16:00|Not by 16:00|"),IF(E29="Up","High first (main side)",IF(E29="Down","High first (wick side)","High first")),IF(E29="Down","Low first (main side)",IF(E29="Up","Low first (wick side)","Low first"))))),"Check entries"))</f>
        <v/>
      </c>
      <c r="X29" s="28" t="n"/>
      <c r="Y29" s="27" t="n"/>
      <c r="Z29" s="27" t="n"/>
      <c r="AA29" s="27" t="n"/>
      <c r="AB29" s="27" t="n"/>
      <c r="AC29" s="27" t="n"/>
      <c r="AD29" s="27" t="n"/>
      <c r="AE29" s="28" t="n"/>
      <c r="AF29" s="30" t="n"/>
      <c r="AG29" s="27" t="n"/>
    </row>
    <row r="30">
      <c r="A30" s="25" t="n"/>
      <c r="B30" s="26">
        <f>IF(ISNUMBER(A30),TEXT(A30,"ddd"),"")</f>
        <v/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n"/>
      <c r="M30" s="26">
        <f>IF(OR(L30="",AND(E30&lt;&gt;"Up",E30&lt;&gt;"Down")),"",IF(OR(L30="In line",L30="Mixed"),"Neutral data",IF(OR(AND(L30="Hotter",E30="Down"),AND(L30="Cooler",E30="Up")),"With data","Against data")))</f>
        <v/>
      </c>
      <c r="N30" s="28" t="n"/>
      <c r="O30" s="27" t="n"/>
      <c r="P30" s="27" t="n"/>
      <c r="Q30" s="28" t="n"/>
      <c r="R30" s="27" t="n"/>
      <c r="S30" s="29" t="n"/>
      <c r="T30" s="27" t="n"/>
      <c r="U30" s="27" t="n"/>
      <c r="V30" s="26">
        <f>IF(OR(AND(E30&lt;&gt;"Up",E30&lt;&gt;"Down"),NOT(ISNUMBER(S30)),IF(E30="Up",Q30,R30)=""),"",IF(S30&gt;=100,"Back to open",IF(OR(IF(E30="Up",Q30,R30)="1-5 min",IF(E30="Up",Q30,R30)="5-15 min"),"Continued",IF(S30&gt;=50,"Partial retrace","Stalled / chop"))))</f>
        <v/>
      </c>
      <c r="W30" s="26">
        <f>IF(OR(Q30="",R30=""),"",IFERROR(IF(AND(Q30="Not by 16:00",R30="Not by 16:00"),"Neither taken",IF(FIND("|"&amp;Q30&amp;"|","|1-5 min|5-15 min|15-60 min|9:30-11:00|11:00-16:00|Not by 16:00|")=FIND("|"&amp;R30&amp;"|","|1-5 min|5-15 min|15-60 min|9:30-11:00|11:00-16:00|Not by 16:00|"),"Same window",IF(FIND("|"&amp;Q30&amp;"|","|1-5 min|5-15 min|15-60 min|9:30-11:00|11:00-16:00|Not by 16:00|")&lt;FIND("|"&amp;R30&amp;"|","|1-5 min|5-15 min|15-60 min|9:30-11:00|11:00-16:00|Not by 16:00|"),IF(E30="Up","High first (main side)",IF(E30="Down","High first (wick side)","High first")),IF(E30="Down","Low first (main side)",IF(E30="Up","Low first (wick side)","Low first"))))),"Check entries"))</f>
        <v/>
      </c>
      <c r="X30" s="28" t="n"/>
      <c r="Y30" s="27" t="n"/>
      <c r="Z30" s="27" t="n"/>
      <c r="AA30" s="27" t="n"/>
      <c r="AB30" s="27" t="n"/>
      <c r="AC30" s="27" t="n"/>
      <c r="AD30" s="27" t="n"/>
      <c r="AE30" s="28" t="n"/>
      <c r="AF30" s="30" t="n"/>
      <c r="AG30" s="27" t="n"/>
    </row>
    <row r="31">
      <c r="A31" s="25" t="n"/>
      <c r="B31" s="26">
        <f>IF(ISNUMBER(A31),TEXT(A31,"ddd"),"")</f>
        <v/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  <c r="M31" s="26">
        <f>IF(OR(L31="",AND(E31&lt;&gt;"Up",E31&lt;&gt;"Down")),"",IF(OR(L31="In line",L31="Mixed"),"Neutral data",IF(OR(AND(L31="Hotter",E31="Down"),AND(L31="Cooler",E31="Up")),"With data","Against data")))</f>
        <v/>
      </c>
      <c r="N31" s="28" t="n"/>
      <c r="O31" s="27" t="n"/>
      <c r="P31" s="27" t="n"/>
      <c r="Q31" s="28" t="n"/>
      <c r="R31" s="27" t="n"/>
      <c r="S31" s="29" t="n"/>
      <c r="T31" s="27" t="n"/>
      <c r="U31" s="27" t="n"/>
      <c r="V31" s="26">
        <f>IF(OR(AND(E31&lt;&gt;"Up",E31&lt;&gt;"Down"),NOT(ISNUMBER(S31)),IF(E31="Up",Q31,R31)=""),"",IF(S31&gt;=100,"Back to open",IF(OR(IF(E31="Up",Q31,R31)="1-5 min",IF(E31="Up",Q31,R31)="5-15 min"),"Continued",IF(S31&gt;=50,"Partial retrace","Stalled / chop"))))</f>
        <v/>
      </c>
      <c r="W31" s="26">
        <f>IF(OR(Q31="",R31=""),"",IFERROR(IF(AND(Q31="Not by 16:00",R31="Not by 16:00"),"Neither taken",IF(FIND("|"&amp;Q31&amp;"|","|1-5 min|5-15 min|15-60 min|9:30-11:00|11:00-16:00|Not by 16:00|")=FIND("|"&amp;R31&amp;"|","|1-5 min|5-15 min|15-60 min|9:30-11:00|11:00-16:00|Not by 16:00|"),"Same window",IF(FIND("|"&amp;Q31&amp;"|","|1-5 min|5-15 min|15-60 min|9:30-11:00|11:00-16:00|Not by 16:00|")&lt;FIND("|"&amp;R31&amp;"|","|1-5 min|5-15 min|15-60 min|9:30-11:00|11:00-16:00|Not by 16:00|"),IF(E31="Up","High first (main side)",IF(E31="Down","High first (wick side)","High first")),IF(E31="Down","Low first (main side)",IF(E31="Up","Low first (wick side)","Low first"))))),"Check entries"))</f>
        <v/>
      </c>
      <c r="X31" s="28" t="n"/>
      <c r="Y31" s="27" t="n"/>
      <c r="Z31" s="27" t="n"/>
      <c r="AA31" s="27" t="n"/>
      <c r="AB31" s="27" t="n"/>
      <c r="AC31" s="27" t="n"/>
      <c r="AD31" s="27" t="n"/>
      <c r="AE31" s="28" t="n"/>
      <c r="AF31" s="30" t="n"/>
      <c r="AG31" s="27" t="n"/>
    </row>
    <row r="32">
      <c r="A32" s="25" t="n"/>
      <c r="B32" s="26">
        <f>IF(ISNUMBER(A32),TEXT(A32,"ddd"),"")</f>
        <v/>
      </c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n"/>
      <c r="M32" s="26">
        <f>IF(OR(L32="",AND(E32&lt;&gt;"Up",E32&lt;&gt;"Down")),"",IF(OR(L32="In line",L32="Mixed"),"Neutral data",IF(OR(AND(L32="Hotter",E32="Down"),AND(L32="Cooler",E32="Up")),"With data","Against data")))</f>
        <v/>
      </c>
      <c r="N32" s="28" t="n"/>
      <c r="O32" s="27" t="n"/>
      <c r="P32" s="27" t="n"/>
      <c r="Q32" s="28" t="n"/>
      <c r="R32" s="27" t="n"/>
      <c r="S32" s="29" t="n"/>
      <c r="T32" s="27" t="n"/>
      <c r="U32" s="27" t="n"/>
      <c r="V32" s="26">
        <f>IF(OR(AND(E32&lt;&gt;"Up",E32&lt;&gt;"Down"),NOT(ISNUMBER(S32)),IF(E32="Up",Q32,R32)=""),"",IF(S32&gt;=100,"Back to open",IF(OR(IF(E32="Up",Q32,R32)="1-5 min",IF(E32="Up",Q32,R32)="5-15 min"),"Continued",IF(S32&gt;=50,"Partial retrace","Stalled / chop"))))</f>
        <v/>
      </c>
      <c r="W32" s="26">
        <f>IF(OR(Q32="",R32=""),"",IFERROR(IF(AND(Q32="Not by 16:00",R32="Not by 16:00"),"Neither taken",IF(FIND("|"&amp;Q32&amp;"|","|1-5 min|5-15 min|15-60 min|9:30-11:00|11:00-16:00|Not by 16:00|")=FIND("|"&amp;R32&amp;"|","|1-5 min|5-15 min|15-60 min|9:30-11:00|11:00-16:00|Not by 16:00|"),"Same window",IF(FIND("|"&amp;Q32&amp;"|","|1-5 min|5-15 min|15-60 min|9:30-11:00|11:00-16:00|Not by 16:00|")&lt;FIND("|"&amp;R32&amp;"|","|1-5 min|5-15 min|15-60 min|9:30-11:00|11:00-16:00|Not by 16:00|"),IF(E32="Up","High first (main side)",IF(E32="Down","High first (wick side)","High first")),IF(E32="Down","Low first (main side)",IF(E32="Up","Low first (wick side)","Low first"))))),"Check entries"))</f>
        <v/>
      </c>
      <c r="X32" s="28" t="n"/>
      <c r="Y32" s="27" t="n"/>
      <c r="Z32" s="27" t="n"/>
      <c r="AA32" s="27" t="n"/>
      <c r="AB32" s="27" t="n"/>
      <c r="AC32" s="27" t="n"/>
      <c r="AD32" s="27" t="n"/>
      <c r="AE32" s="28" t="n"/>
      <c r="AF32" s="30" t="n"/>
      <c r="AG32" s="27" t="n"/>
    </row>
    <row r="33">
      <c r="A33" s="25" t="n"/>
      <c r="B33" s="26">
        <f>IF(ISNUMBER(A33),TEXT(A33,"ddd"),"")</f>
        <v/>
      </c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  <c r="M33" s="26">
        <f>IF(OR(L33="",AND(E33&lt;&gt;"Up",E33&lt;&gt;"Down")),"",IF(OR(L33="In line",L33="Mixed"),"Neutral data",IF(OR(AND(L33="Hotter",E33="Down"),AND(L33="Cooler",E33="Up")),"With data","Against data")))</f>
        <v/>
      </c>
      <c r="N33" s="28" t="n"/>
      <c r="O33" s="27" t="n"/>
      <c r="P33" s="27" t="n"/>
      <c r="Q33" s="28" t="n"/>
      <c r="R33" s="27" t="n"/>
      <c r="S33" s="29" t="n"/>
      <c r="T33" s="27" t="n"/>
      <c r="U33" s="27" t="n"/>
      <c r="V33" s="26">
        <f>IF(OR(AND(E33&lt;&gt;"Up",E33&lt;&gt;"Down"),NOT(ISNUMBER(S33)),IF(E33="Up",Q33,R33)=""),"",IF(S33&gt;=100,"Back to open",IF(OR(IF(E33="Up",Q33,R33)="1-5 min",IF(E33="Up",Q33,R33)="5-15 min"),"Continued",IF(S33&gt;=50,"Partial retrace","Stalled / chop"))))</f>
        <v/>
      </c>
      <c r="W33" s="26">
        <f>IF(OR(Q33="",R33=""),"",IFERROR(IF(AND(Q33="Not by 16:00",R33="Not by 16:00"),"Neither taken",IF(FIND("|"&amp;Q33&amp;"|","|1-5 min|5-15 min|15-60 min|9:30-11:00|11:00-16:00|Not by 16:00|")=FIND("|"&amp;R33&amp;"|","|1-5 min|5-15 min|15-60 min|9:30-11:00|11:00-16:00|Not by 16:00|"),"Same window",IF(FIND("|"&amp;Q33&amp;"|","|1-5 min|5-15 min|15-60 min|9:30-11:00|11:00-16:00|Not by 16:00|")&lt;FIND("|"&amp;R33&amp;"|","|1-5 min|5-15 min|15-60 min|9:30-11:00|11:00-16:00|Not by 16:00|"),IF(E33="Up","High first (main side)",IF(E33="Down","High first (wick side)","High first")),IF(E33="Down","Low first (main side)",IF(E33="Up","Low first (wick side)","Low first"))))),"Check entries"))</f>
        <v/>
      </c>
      <c r="X33" s="28" t="n"/>
      <c r="Y33" s="27" t="n"/>
      <c r="Z33" s="27" t="n"/>
      <c r="AA33" s="27" t="n"/>
      <c r="AB33" s="27" t="n"/>
      <c r="AC33" s="27" t="n"/>
      <c r="AD33" s="27" t="n"/>
      <c r="AE33" s="28" t="n"/>
      <c r="AF33" s="30" t="n"/>
      <c r="AG33" s="27" t="n"/>
    </row>
    <row r="34">
      <c r="A34" s="25" t="n"/>
      <c r="B34" s="26">
        <f>IF(ISNUMBER(A34),TEXT(A34,"ddd"),"")</f>
        <v/>
      </c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  <c r="M34" s="26">
        <f>IF(OR(L34="",AND(E34&lt;&gt;"Up",E34&lt;&gt;"Down")),"",IF(OR(L34="In line",L34="Mixed"),"Neutral data",IF(OR(AND(L34="Hotter",E34="Down"),AND(L34="Cooler",E34="Up")),"With data","Against data")))</f>
        <v/>
      </c>
      <c r="N34" s="28" t="n"/>
      <c r="O34" s="27" t="n"/>
      <c r="P34" s="27" t="n"/>
      <c r="Q34" s="28" t="n"/>
      <c r="R34" s="27" t="n"/>
      <c r="S34" s="29" t="n"/>
      <c r="T34" s="27" t="n"/>
      <c r="U34" s="27" t="n"/>
      <c r="V34" s="26">
        <f>IF(OR(AND(E34&lt;&gt;"Up",E34&lt;&gt;"Down"),NOT(ISNUMBER(S34)),IF(E34="Up",Q34,R34)=""),"",IF(S34&gt;=100,"Back to open",IF(OR(IF(E34="Up",Q34,R34)="1-5 min",IF(E34="Up",Q34,R34)="5-15 min"),"Continued",IF(S34&gt;=50,"Partial retrace","Stalled / chop"))))</f>
        <v/>
      </c>
      <c r="W34" s="26">
        <f>IF(OR(Q34="",R34=""),"",IFERROR(IF(AND(Q34="Not by 16:00",R34="Not by 16:00"),"Neither taken",IF(FIND("|"&amp;Q34&amp;"|","|1-5 min|5-15 min|15-60 min|9:30-11:00|11:00-16:00|Not by 16:00|")=FIND("|"&amp;R34&amp;"|","|1-5 min|5-15 min|15-60 min|9:30-11:00|11:00-16:00|Not by 16:00|"),"Same window",IF(FIND("|"&amp;Q34&amp;"|","|1-5 min|5-15 min|15-60 min|9:30-11:00|11:00-16:00|Not by 16:00|")&lt;FIND("|"&amp;R34&amp;"|","|1-5 min|5-15 min|15-60 min|9:30-11:00|11:00-16:00|Not by 16:00|"),IF(E34="Up","High first (main side)",IF(E34="Down","High first (wick side)","High first")),IF(E34="Down","Low first (main side)",IF(E34="Up","Low first (wick side)","Low first"))))),"Check entries"))</f>
        <v/>
      </c>
      <c r="X34" s="28" t="n"/>
      <c r="Y34" s="27" t="n"/>
      <c r="Z34" s="27" t="n"/>
      <c r="AA34" s="27" t="n"/>
      <c r="AB34" s="27" t="n"/>
      <c r="AC34" s="27" t="n"/>
      <c r="AD34" s="27" t="n"/>
      <c r="AE34" s="28" t="n"/>
      <c r="AF34" s="30" t="n"/>
      <c r="AG34" s="27" t="n"/>
    </row>
    <row r="35">
      <c r="A35" s="25" t="n"/>
      <c r="B35" s="26">
        <f>IF(ISNUMBER(A35),TEXT(A35,"ddd"),"")</f>
        <v/>
      </c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  <c r="M35" s="26">
        <f>IF(OR(L35="",AND(E35&lt;&gt;"Up",E35&lt;&gt;"Down")),"",IF(OR(L35="In line",L35="Mixed"),"Neutral data",IF(OR(AND(L35="Hotter",E35="Down"),AND(L35="Cooler",E35="Up")),"With data","Against data")))</f>
        <v/>
      </c>
      <c r="N35" s="28" t="n"/>
      <c r="O35" s="27" t="n"/>
      <c r="P35" s="27" t="n"/>
      <c r="Q35" s="28" t="n"/>
      <c r="R35" s="27" t="n"/>
      <c r="S35" s="29" t="n"/>
      <c r="T35" s="27" t="n"/>
      <c r="U35" s="27" t="n"/>
      <c r="V35" s="26">
        <f>IF(OR(AND(E35&lt;&gt;"Up",E35&lt;&gt;"Down"),NOT(ISNUMBER(S35)),IF(E35="Up",Q35,R35)=""),"",IF(S35&gt;=100,"Back to open",IF(OR(IF(E35="Up",Q35,R35)="1-5 min",IF(E35="Up",Q35,R35)="5-15 min"),"Continued",IF(S35&gt;=50,"Partial retrace","Stalled / chop"))))</f>
        <v/>
      </c>
      <c r="W35" s="26">
        <f>IF(OR(Q35="",R35=""),"",IFERROR(IF(AND(Q35="Not by 16:00",R35="Not by 16:00"),"Neither taken",IF(FIND("|"&amp;Q35&amp;"|","|1-5 min|5-15 min|15-60 min|9:30-11:00|11:00-16:00|Not by 16:00|")=FIND("|"&amp;R35&amp;"|","|1-5 min|5-15 min|15-60 min|9:30-11:00|11:00-16:00|Not by 16:00|"),"Same window",IF(FIND("|"&amp;Q35&amp;"|","|1-5 min|5-15 min|15-60 min|9:30-11:00|11:00-16:00|Not by 16:00|")&lt;FIND("|"&amp;R35&amp;"|","|1-5 min|5-15 min|15-60 min|9:30-11:00|11:00-16:00|Not by 16:00|"),IF(E35="Up","High first (main side)",IF(E35="Down","High first (wick side)","High first")),IF(E35="Down","Low first (main side)",IF(E35="Up","Low first (wick side)","Low first"))))),"Check entries"))</f>
        <v/>
      </c>
      <c r="X35" s="28" t="n"/>
      <c r="Y35" s="27" t="n"/>
      <c r="Z35" s="27" t="n"/>
      <c r="AA35" s="27" t="n"/>
      <c r="AB35" s="27" t="n"/>
      <c r="AC35" s="27" t="n"/>
      <c r="AD35" s="27" t="n"/>
      <c r="AE35" s="28" t="n"/>
      <c r="AF35" s="30" t="n"/>
      <c r="AG35" s="27" t="n"/>
    </row>
    <row r="36">
      <c r="A36" s="25" t="n"/>
      <c r="B36" s="26">
        <f>IF(ISNUMBER(A36),TEXT(A36,"ddd"),"")</f>
        <v/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  <c r="M36" s="26">
        <f>IF(OR(L36="",AND(E36&lt;&gt;"Up",E36&lt;&gt;"Down")),"",IF(OR(L36="In line",L36="Mixed"),"Neutral data",IF(OR(AND(L36="Hotter",E36="Down"),AND(L36="Cooler",E36="Up")),"With data","Against data")))</f>
        <v/>
      </c>
      <c r="N36" s="28" t="n"/>
      <c r="O36" s="27" t="n"/>
      <c r="P36" s="27" t="n"/>
      <c r="Q36" s="28" t="n"/>
      <c r="R36" s="27" t="n"/>
      <c r="S36" s="29" t="n"/>
      <c r="T36" s="27" t="n"/>
      <c r="U36" s="27" t="n"/>
      <c r="V36" s="26">
        <f>IF(OR(AND(E36&lt;&gt;"Up",E36&lt;&gt;"Down"),NOT(ISNUMBER(S36)),IF(E36="Up",Q36,R36)=""),"",IF(S36&gt;=100,"Back to open",IF(OR(IF(E36="Up",Q36,R36)="1-5 min",IF(E36="Up",Q36,R36)="5-15 min"),"Continued",IF(S36&gt;=50,"Partial retrace","Stalled / chop"))))</f>
        <v/>
      </c>
      <c r="W36" s="26">
        <f>IF(OR(Q36="",R36=""),"",IFERROR(IF(AND(Q36="Not by 16:00",R36="Not by 16:00"),"Neither taken",IF(FIND("|"&amp;Q36&amp;"|","|1-5 min|5-15 min|15-60 min|9:30-11:00|11:00-16:00|Not by 16:00|")=FIND("|"&amp;R36&amp;"|","|1-5 min|5-15 min|15-60 min|9:30-11:00|11:00-16:00|Not by 16:00|"),"Same window",IF(FIND("|"&amp;Q36&amp;"|","|1-5 min|5-15 min|15-60 min|9:30-11:00|11:00-16:00|Not by 16:00|")&lt;FIND("|"&amp;R36&amp;"|","|1-5 min|5-15 min|15-60 min|9:30-11:00|11:00-16:00|Not by 16:00|"),IF(E36="Up","High first (main side)",IF(E36="Down","High first (wick side)","High first")),IF(E36="Down","Low first (main side)",IF(E36="Up","Low first (wick side)","Low first"))))),"Check entries"))</f>
        <v/>
      </c>
      <c r="X36" s="28" t="n"/>
      <c r="Y36" s="27" t="n"/>
      <c r="Z36" s="27" t="n"/>
      <c r="AA36" s="27" t="n"/>
      <c r="AB36" s="27" t="n"/>
      <c r="AC36" s="27" t="n"/>
      <c r="AD36" s="27" t="n"/>
      <c r="AE36" s="28" t="n"/>
      <c r="AF36" s="30" t="n"/>
      <c r="AG36" s="27" t="n"/>
    </row>
    <row r="37">
      <c r="A37" s="25" t="n"/>
      <c r="B37" s="26">
        <f>IF(ISNUMBER(A37),TEXT(A37,"ddd"),"")</f>
        <v/>
      </c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  <c r="M37" s="26">
        <f>IF(OR(L37="",AND(E37&lt;&gt;"Up",E37&lt;&gt;"Down")),"",IF(OR(L37="In line",L37="Mixed"),"Neutral data",IF(OR(AND(L37="Hotter",E37="Down"),AND(L37="Cooler",E37="Up")),"With data","Against data")))</f>
        <v/>
      </c>
      <c r="N37" s="28" t="n"/>
      <c r="O37" s="27" t="n"/>
      <c r="P37" s="27" t="n"/>
      <c r="Q37" s="28" t="n"/>
      <c r="R37" s="27" t="n"/>
      <c r="S37" s="29" t="n"/>
      <c r="T37" s="27" t="n"/>
      <c r="U37" s="27" t="n"/>
      <c r="V37" s="26">
        <f>IF(OR(AND(E37&lt;&gt;"Up",E37&lt;&gt;"Down"),NOT(ISNUMBER(S37)),IF(E37="Up",Q37,R37)=""),"",IF(S37&gt;=100,"Back to open",IF(OR(IF(E37="Up",Q37,R37)="1-5 min",IF(E37="Up",Q37,R37)="5-15 min"),"Continued",IF(S37&gt;=50,"Partial retrace","Stalled / chop"))))</f>
        <v/>
      </c>
      <c r="W37" s="26">
        <f>IF(OR(Q37="",R37=""),"",IFERROR(IF(AND(Q37="Not by 16:00",R37="Not by 16:00"),"Neither taken",IF(FIND("|"&amp;Q37&amp;"|","|1-5 min|5-15 min|15-60 min|9:30-11:00|11:00-16:00|Not by 16:00|")=FIND("|"&amp;R37&amp;"|","|1-5 min|5-15 min|15-60 min|9:30-11:00|11:00-16:00|Not by 16:00|"),"Same window",IF(FIND("|"&amp;Q37&amp;"|","|1-5 min|5-15 min|15-60 min|9:30-11:00|11:00-16:00|Not by 16:00|")&lt;FIND("|"&amp;R37&amp;"|","|1-5 min|5-15 min|15-60 min|9:30-11:00|11:00-16:00|Not by 16:00|"),IF(E37="Up","High first (main side)",IF(E37="Down","High first (wick side)","High first")),IF(E37="Down","Low first (main side)",IF(E37="Up","Low first (wick side)","Low first"))))),"Check entries"))</f>
        <v/>
      </c>
      <c r="X37" s="28" t="n"/>
      <c r="Y37" s="27" t="n"/>
      <c r="Z37" s="27" t="n"/>
      <c r="AA37" s="27" t="n"/>
      <c r="AB37" s="27" t="n"/>
      <c r="AC37" s="27" t="n"/>
      <c r="AD37" s="27" t="n"/>
      <c r="AE37" s="28" t="n"/>
      <c r="AF37" s="30" t="n"/>
      <c r="AG37" s="27" t="n"/>
    </row>
    <row r="38">
      <c r="A38" s="25" t="n"/>
      <c r="B38" s="26">
        <f>IF(ISNUMBER(A38),TEXT(A38,"ddd"),"")</f>
        <v/>
      </c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8" t="n"/>
      <c r="M38" s="26">
        <f>IF(OR(L38="",AND(E38&lt;&gt;"Up",E38&lt;&gt;"Down")),"",IF(OR(L38="In line",L38="Mixed"),"Neutral data",IF(OR(AND(L38="Hotter",E38="Down"),AND(L38="Cooler",E38="Up")),"With data","Against data")))</f>
        <v/>
      </c>
      <c r="N38" s="28" t="n"/>
      <c r="O38" s="27" t="n"/>
      <c r="P38" s="27" t="n"/>
      <c r="Q38" s="28" t="n"/>
      <c r="R38" s="27" t="n"/>
      <c r="S38" s="29" t="n"/>
      <c r="T38" s="27" t="n"/>
      <c r="U38" s="27" t="n"/>
      <c r="V38" s="26">
        <f>IF(OR(AND(E38&lt;&gt;"Up",E38&lt;&gt;"Down"),NOT(ISNUMBER(S38)),IF(E38="Up",Q38,R38)=""),"",IF(S38&gt;=100,"Back to open",IF(OR(IF(E38="Up",Q38,R38)="1-5 min",IF(E38="Up",Q38,R38)="5-15 min"),"Continued",IF(S38&gt;=50,"Partial retrace","Stalled / chop"))))</f>
        <v/>
      </c>
      <c r="W38" s="26">
        <f>IF(OR(Q38="",R38=""),"",IFERROR(IF(AND(Q38="Not by 16:00",R38="Not by 16:00"),"Neither taken",IF(FIND("|"&amp;Q38&amp;"|","|1-5 min|5-15 min|15-60 min|9:30-11:00|11:00-16:00|Not by 16:00|")=FIND("|"&amp;R38&amp;"|","|1-5 min|5-15 min|15-60 min|9:30-11:00|11:00-16:00|Not by 16:00|"),"Same window",IF(FIND("|"&amp;Q38&amp;"|","|1-5 min|5-15 min|15-60 min|9:30-11:00|11:00-16:00|Not by 16:00|")&lt;FIND("|"&amp;R38&amp;"|","|1-5 min|5-15 min|15-60 min|9:30-11:00|11:00-16:00|Not by 16:00|"),IF(E38="Up","High first (main side)",IF(E38="Down","High first (wick side)","High first")),IF(E38="Down","Low first (main side)",IF(E38="Up","Low first (wick side)","Low first"))))),"Check entries"))</f>
        <v/>
      </c>
      <c r="X38" s="28" t="n"/>
      <c r="Y38" s="27" t="n"/>
      <c r="Z38" s="27" t="n"/>
      <c r="AA38" s="27" t="n"/>
      <c r="AB38" s="27" t="n"/>
      <c r="AC38" s="27" t="n"/>
      <c r="AD38" s="27" t="n"/>
      <c r="AE38" s="28" t="n"/>
      <c r="AF38" s="30" t="n"/>
      <c r="AG38" s="27" t="n"/>
    </row>
    <row r="39">
      <c r="A39" s="25" t="n"/>
      <c r="B39" s="26">
        <f>IF(ISNUMBER(A39),TEXT(A39,"ddd"),"")</f>
        <v/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  <c r="M39" s="26">
        <f>IF(OR(L39="",AND(E39&lt;&gt;"Up",E39&lt;&gt;"Down")),"",IF(OR(L39="In line",L39="Mixed"),"Neutral data",IF(OR(AND(L39="Hotter",E39="Down"),AND(L39="Cooler",E39="Up")),"With data","Against data")))</f>
        <v/>
      </c>
      <c r="N39" s="28" t="n"/>
      <c r="O39" s="27" t="n"/>
      <c r="P39" s="27" t="n"/>
      <c r="Q39" s="28" t="n"/>
      <c r="R39" s="27" t="n"/>
      <c r="S39" s="29" t="n"/>
      <c r="T39" s="27" t="n"/>
      <c r="U39" s="27" t="n"/>
      <c r="V39" s="26">
        <f>IF(OR(AND(E39&lt;&gt;"Up",E39&lt;&gt;"Down"),NOT(ISNUMBER(S39)),IF(E39="Up",Q39,R39)=""),"",IF(S39&gt;=100,"Back to open",IF(OR(IF(E39="Up",Q39,R39)="1-5 min",IF(E39="Up",Q39,R39)="5-15 min"),"Continued",IF(S39&gt;=50,"Partial retrace","Stalled / chop"))))</f>
        <v/>
      </c>
      <c r="W39" s="26">
        <f>IF(OR(Q39="",R39=""),"",IFERROR(IF(AND(Q39="Not by 16:00",R39="Not by 16:00"),"Neither taken",IF(FIND("|"&amp;Q39&amp;"|","|1-5 min|5-15 min|15-60 min|9:30-11:00|11:00-16:00|Not by 16:00|")=FIND("|"&amp;R39&amp;"|","|1-5 min|5-15 min|15-60 min|9:30-11:00|11:00-16:00|Not by 16:00|"),"Same window",IF(FIND("|"&amp;Q39&amp;"|","|1-5 min|5-15 min|15-60 min|9:30-11:00|11:00-16:00|Not by 16:00|")&lt;FIND("|"&amp;R39&amp;"|","|1-5 min|5-15 min|15-60 min|9:30-11:00|11:00-16:00|Not by 16:00|"),IF(E39="Up","High first (main side)",IF(E39="Down","High first (wick side)","High first")),IF(E39="Down","Low first (main side)",IF(E39="Up","Low first (wick side)","Low first"))))),"Check entries"))</f>
        <v/>
      </c>
      <c r="X39" s="28" t="n"/>
      <c r="Y39" s="27" t="n"/>
      <c r="Z39" s="27" t="n"/>
      <c r="AA39" s="27" t="n"/>
      <c r="AB39" s="27" t="n"/>
      <c r="AC39" s="27" t="n"/>
      <c r="AD39" s="27" t="n"/>
      <c r="AE39" s="28" t="n"/>
      <c r="AF39" s="30" t="n"/>
      <c r="AG39" s="27" t="n"/>
    </row>
    <row r="40">
      <c r="A40" s="25" t="n"/>
      <c r="B40" s="26">
        <f>IF(ISNUMBER(A40),TEXT(A40,"ddd"),"")</f>
        <v/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8" t="n"/>
      <c r="M40" s="26">
        <f>IF(OR(L40="",AND(E40&lt;&gt;"Up",E40&lt;&gt;"Down")),"",IF(OR(L40="In line",L40="Mixed"),"Neutral data",IF(OR(AND(L40="Hotter",E40="Down"),AND(L40="Cooler",E40="Up")),"With data","Against data")))</f>
        <v/>
      </c>
      <c r="N40" s="28" t="n"/>
      <c r="O40" s="27" t="n"/>
      <c r="P40" s="27" t="n"/>
      <c r="Q40" s="28" t="n"/>
      <c r="R40" s="27" t="n"/>
      <c r="S40" s="29" t="n"/>
      <c r="T40" s="27" t="n"/>
      <c r="U40" s="27" t="n"/>
      <c r="V40" s="26">
        <f>IF(OR(AND(E40&lt;&gt;"Up",E40&lt;&gt;"Down"),NOT(ISNUMBER(S40)),IF(E40="Up",Q40,R40)=""),"",IF(S40&gt;=100,"Back to open",IF(OR(IF(E40="Up",Q40,R40)="1-5 min",IF(E40="Up",Q40,R40)="5-15 min"),"Continued",IF(S40&gt;=50,"Partial retrace","Stalled / chop"))))</f>
        <v/>
      </c>
      <c r="W40" s="26">
        <f>IF(OR(Q40="",R40=""),"",IFERROR(IF(AND(Q40="Not by 16:00",R40="Not by 16:00"),"Neither taken",IF(FIND("|"&amp;Q40&amp;"|","|1-5 min|5-15 min|15-60 min|9:30-11:00|11:00-16:00|Not by 16:00|")=FIND("|"&amp;R40&amp;"|","|1-5 min|5-15 min|15-60 min|9:30-11:00|11:00-16:00|Not by 16:00|"),"Same window",IF(FIND("|"&amp;Q40&amp;"|","|1-5 min|5-15 min|15-60 min|9:30-11:00|11:00-16:00|Not by 16:00|")&lt;FIND("|"&amp;R40&amp;"|","|1-5 min|5-15 min|15-60 min|9:30-11:00|11:00-16:00|Not by 16:00|"),IF(E40="Up","High first (main side)",IF(E40="Down","High first (wick side)","High first")),IF(E40="Down","Low first (main side)",IF(E40="Up","Low first (wick side)","Low first"))))),"Check entries"))</f>
        <v/>
      </c>
      <c r="X40" s="28" t="n"/>
      <c r="Y40" s="27" t="n"/>
      <c r="Z40" s="27" t="n"/>
      <c r="AA40" s="27" t="n"/>
      <c r="AB40" s="27" t="n"/>
      <c r="AC40" s="27" t="n"/>
      <c r="AD40" s="27" t="n"/>
      <c r="AE40" s="28" t="n"/>
      <c r="AF40" s="30" t="n"/>
      <c r="AG40" s="27" t="n"/>
    </row>
    <row r="41">
      <c r="A41" s="25" t="n"/>
      <c r="B41" s="26">
        <f>IF(ISNUMBER(A41),TEXT(A41,"ddd"),"")</f>
        <v/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8" t="n"/>
      <c r="M41" s="26">
        <f>IF(OR(L41="",AND(E41&lt;&gt;"Up",E41&lt;&gt;"Down")),"",IF(OR(L41="In line",L41="Mixed"),"Neutral data",IF(OR(AND(L41="Hotter",E41="Down"),AND(L41="Cooler",E41="Up")),"With data","Against data")))</f>
        <v/>
      </c>
      <c r="N41" s="28" t="n"/>
      <c r="O41" s="27" t="n"/>
      <c r="P41" s="27" t="n"/>
      <c r="Q41" s="28" t="n"/>
      <c r="R41" s="27" t="n"/>
      <c r="S41" s="29" t="n"/>
      <c r="T41" s="27" t="n"/>
      <c r="U41" s="27" t="n"/>
      <c r="V41" s="26">
        <f>IF(OR(AND(E41&lt;&gt;"Up",E41&lt;&gt;"Down"),NOT(ISNUMBER(S41)),IF(E41="Up",Q41,R41)=""),"",IF(S41&gt;=100,"Back to open",IF(OR(IF(E41="Up",Q41,R41)="1-5 min",IF(E41="Up",Q41,R41)="5-15 min"),"Continued",IF(S41&gt;=50,"Partial retrace","Stalled / chop"))))</f>
        <v/>
      </c>
      <c r="W41" s="26">
        <f>IF(OR(Q41="",R41=""),"",IFERROR(IF(AND(Q41="Not by 16:00",R41="Not by 16:00"),"Neither taken",IF(FIND("|"&amp;Q41&amp;"|","|1-5 min|5-15 min|15-60 min|9:30-11:00|11:00-16:00|Not by 16:00|")=FIND("|"&amp;R41&amp;"|","|1-5 min|5-15 min|15-60 min|9:30-11:00|11:00-16:00|Not by 16:00|"),"Same window",IF(FIND("|"&amp;Q41&amp;"|","|1-5 min|5-15 min|15-60 min|9:30-11:00|11:00-16:00|Not by 16:00|")&lt;FIND("|"&amp;R41&amp;"|","|1-5 min|5-15 min|15-60 min|9:30-11:00|11:00-16:00|Not by 16:00|"),IF(E41="Up","High first (main side)",IF(E41="Down","High first (wick side)","High first")),IF(E41="Down","Low first (main side)",IF(E41="Up","Low first (wick side)","Low first"))))),"Check entries"))</f>
        <v/>
      </c>
      <c r="X41" s="28" t="n"/>
      <c r="Y41" s="27" t="n"/>
      <c r="Z41" s="27" t="n"/>
      <c r="AA41" s="27" t="n"/>
      <c r="AB41" s="27" t="n"/>
      <c r="AC41" s="27" t="n"/>
      <c r="AD41" s="27" t="n"/>
      <c r="AE41" s="28" t="n"/>
      <c r="AF41" s="30" t="n"/>
      <c r="AG41" s="27" t="n"/>
    </row>
    <row r="42">
      <c r="A42" s="25" t="n"/>
      <c r="B42" s="26">
        <f>IF(ISNUMBER(A42),TEXT(A42,"ddd"),"")</f>
        <v/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8" t="n"/>
      <c r="M42" s="26">
        <f>IF(OR(L42="",AND(E42&lt;&gt;"Up",E42&lt;&gt;"Down")),"",IF(OR(L42="In line",L42="Mixed"),"Neutral data",IF(OR(AND(L42="Hotter",E42="Down"),AND(L42="Cooler",E42="Up")),"With data","Against data")))</f>
        <v/>
      </c>
      <c r="N42" s="28" t="n"/>
      <c r="O42" s="27" t="n"/>
      <c r="P42" s="27" t="n"/>
      <c r="Q42" s="28" t="n"/>
      <c r="R42" s="27" t="n"/>
      <c r="S42" s="29" t="n"/>
      <c r="T42" s="27" t="n"/>
      <c r="U42" s="27" t="n"/>
      <c r="V42" s="26">
        <f>IF(OR(AND(E42&lt;&gt;"Up",E42&lt;&gt;"Down"),NOT(ISNUMBER(S42)),IF(E42="Up",Q42,R42)=""),"",IF(S42&gt;=100,"Back to open",IF(OR(IF(E42="Up",Q42,R42)="1-5 min",IF(E42="Up",Q42,R42)="5-15 min"),"Continued",IF(S42&gt;=50,"Partial retrace","Stalled / chop"))))</f>
        <v/>
      </c>
      <c r="W42" s="26">
        <f>IF(OR(Q42="",R42=""),"",IFERROR(IF(AND(Q42="Not by 16:00",R42="Not by 16:00"),"Neither taken",IF(FIND("|"&amp;Q42&amp;"|","|1-5 min|5-15 min|15-60 min|9:30-11:00|11:00-16:00|Not by 16:00|")=FIND("|"&amp;R42&amp;"|","|1-5 min|5-15 min|15-60 min|9:30-11:00|11:00-16:00|Not by 16:00|"),"Same window",IF(FIND("|"&amp;Q42&amp;"|","|1-5 min|5-15 min|15-60 min|9:30-11:00|11:00-16:00|Not by 16:00|")&lt;FIND("|"&amp;R42&amp;"|","|1-5 min|5-15 min|15-60 min|9:30-11:00|11:00-16:00|Not by 16:00|"),IF(E42="Up","High first (main side)",IF(E42="Down","High first (wick side)","High first")),IF(E42="Down","Low first (main side)",IF(E42="Up","Low first (wick side)","Low first"))))),"Check entries"))</f>
        <v/>
      </c>
      <c r="X42" s="28" t="n"/>
      <c r="Y42" s="27" t="n"/>
      <c r="Z42" s="27" t="n"/>
      <c r="AA42" s="27" t="n"/>
      <c r="AB42" s="27" t="n"/>
      <c r="AC42" s="27" t="n"/>
      <c r="AD42" s="27" t="n"/>
      <c r="AE42" s="28" t="n"/>
      <c r="AF42" s="30" t="n"/>
      <c r="AG42" s="27" t="n"/>
    </row>
    <row r="43">
      <c r="A43" s="25" t="n"/>
      <c r="B43" s="26">
        <f>IF(ISNUMBER(A43),TEXT(A43,"ddd"),"")</f>
        <v/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  <c r="M43" s="26">
        <f>IF(OR(L43="",AND(E43&lt;&gt;"Up",E43&lt;&gt;"Down")),"",IF(OR(L43="In line",L43="Mixed"),"Neutral data",IF(OR(AND(L43="Hotter",E43="Down"),AND(L43="Cooler",E43="Up")),"With data","Against data")))</f>
        <v/>
      </c>
      <c r="N43" s="28" t="n"/>
      <c r="O43" s="27" t="n"/>
      <c r="P43" s="27" t="n"/>
      <c r="Q43" s="28" t="n"/>
      <c r="R43" s="27" t="n"/>
      <c r="S43" s="29" t="n"/>
      <c r="T43" s="27" t="n"/>
      <c r="U43" s="27" t="n"/>
      <c r="V43" s="26">
        <f>IF(OR(AND(E43&lt;&gt;"Up",E43&lt;&gt;"Down"),NOT(ISNUMBER(S43)),IF(E43="Up",Q43,R43)=""),"",IF(S43&gt;=100,"Back to open",IF(OR(IF(E43="Up",Q43,R43)="1-5 min",IF(E43="Up",Q43,R43)="5-15 min"),"Continued",IF(S43&gt;=50,"Partial retrace","Stalled / chop"))))</f>
        <v/>
      </c>
      <c r="W43" s="26">
        <f>IF(OR(Q43="",R43=""),"",IFERROR(IF(AND(Q43="Not by 16:00",R43="Not by 16:00"),"Neither taken",IF(FIND("|"&amp;Q43&amp;"|","|1-5 min|5-15 min|15-60 min|9:30-11:00|11:00-16:00|Not by 16:00|")=FIND("|"&amp;R43&amp;"|","|1-5 min|5-15 min|15-60 min|9:30-11:00|11:00-16:00|Not by 16:00|"),"Same window",IF(FIND("|"&amp;Q43&amp;"|","|1-5 min|5-15 min|15-60 min|9:30-11:00|11:00-16:00|Not by 16:00|")&lt;FIND("|"&amp;R43&amp;"|","|1-5 min|5-15 min|15-60 min|9:30-11:00|11:00-16:00|Not by 16:00|"),IF(E43="Up","High first (main side)",IF(E43="Down","High first (wick side)","High first")),IF(E43="Down","Low first (main side)",IF(E43="Up","Low first (wick side)","Low first"))))),"Check entries"))</f>
        <v/>
      </c>
      <c r="X43" s="28" t="n"/>
      <c r="Y43" s="27" t="n"/>
      <c r="Z43" s="27" t="n"/>
      <c r="AA43" s="27" t="n"/>
      <c r="AB43" s="27" t="n"/>
      <c r="AC43" s="27" t="n"/>
      <c r="AD43" s="27" t="n"/>
      <c r="AE43" s="28" t="n"/>
      <c r="AF43" s="30" t="n"/>
      <c r="AG43" s="27" t="n"/>
    </row>
    <row r="44">
      <c r="A44" s="25" t="n"/>
      <c r="B44" s="26">
        <f>IF(ISNUMBER(A44),TEXT(A44,"ddd"),"")</f>
        <v/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  <c r="M44" s="26">
        <f>IF(OR(L44="",AND(E44&lt;&gt;"Up",E44&lt;&gt;"Down")),"",IF(OR(L44="In line",L44="Mixed"),"Neutral data",IF(OR(AND(L44="Hotter",E44="Down"),AND(L44="Cooler",E44="Up")),"With data","Against data")))</f>
        <v/>
      </c>
      <c r="N44" s="28" t="n"/>
      <c r="O44" s="27" t="n"/>
      <c r="P44" s="27" t="n"/>
      <c r="Q44" s="28" t="n"/>
      <c r="R44" s="27" t="n"/>
      <c r="S44" s="29" t="n"/>
      <c r="T44" s="27" t="n"/>
      <c r="U44" s="27" t="n"/>
      <c r="V44" s="26">
        <f>IF(OR(AND(E44&lt;&gt;"Up",E44&lt;&gt;"Down"),NOT(ISNUMBER(S44)),IF(E44="Up",Q44,R44)=""),"",IF(S44&gt;=100,"Back to open",IF(OR(IF(E44="Up",Q44,R44)="1-5 min",IF(E44="Up",Q44,R44)="5-15 min"),"Continued",IF(S44&gt;=50,"Partial retrace","Stalled / chop"))))</f>
        <v/>
      </c>
      <c r="W44" s="26">
        <f>IF(OR(Q44="",R44=""),"",IFERROR(IF(AND(Q44="Not by 16:00",R44="Not by 16:00"),"Neither taken",IF(FIND("|"&amp;Q44&amp;"|","|1-5 min|5-15 min|15-60 min|9:30-11:00|11:00-16:00|Not by 16:00|")=FIND("|"&amp;R44&amp;"|","|1-5 min|5-15 min|15-60 min|9:30-11:00|11:00-16:00|Not by 16:00|"),"Same window",IF(FIND("|"&amp;Q44&amp;"|","|1-5 min|5-15 min|15-60 min|9:30-11:00|11:00-16:00|Not by 16:00|")&lt;FIND("|"&amp;R44&amp;"|","|1-5 min|5-15 min|15-60 min|9:30-11:00|11:00-16:00|Not by 16:00|"),IF(E44="Up","High first (main side)",IF(E44="Down","High first (wick side)","High first")),IF(E44="Down","Low first (main side)",IF(E44="Up","Low first (wick side)","Low first"))))),"Check entries"))</f>
        <v/>
      </c>
      <c r="X44" s="28" t="n"/>
      <c r="Y44" s="27" t="n"/>
      <c r="Z44" s="27" t="n"/>
      <c r="AA44" s="27" t="n"/>
      <c r="AB44" s="27" t="n"/>
      <c r="AC44" s="27" t="n"/>
      <c r="AD44" s="27" t="n"/>
      <c r="AE44" s="28" t="n"/>
      <c r="AF44" s="30" t="n"/>
      <c r="AG44" s="27" t="n"/>
    </row>
    <row r="45">
      <c r="A45" s="25" t="n"/>
      <c r="B45" s="26">
        <f>IF(ISNUMBER(A45),TEXT(A45,"ddd"),"")</f>
        <v/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  <c r="M45" s="26">
        <f>IF(OR(L45="",AND(E45&lt;&gt;"Up",E45&lt;&gt;"Down")),"",IF(OR(L45="In line",L45="Mixed"),"Neutral data",IF(OR(AND(L45="Hotter",E45="Down"),AND(L45="Cooler",E45="Up")),"With data","Against data")))</f>
        <v/>
      </c>
      <c r="N45" s="28" t="n"/>
      <c r="O45" s="27" t="n"/>
      <c r="P45" s="27" t="n"/>
      <c r="Q45" s="28" t="n"/>
      <c r="R45" s="27" t="n"/>
      <c r="S45" s="29" t="n"/>
      <c r="T45" s="27" t="n"/>
      <c r="U45" s="27" t="n"/>
      <c r="V45" s="26">
        <f>IF(OR(AND(E45&lt;&gt;"Up",E45&lt;&gt;"Down"),NOT(ISNUMBER(S45)),IF(E45="Up",Q45,R45)=""),"",IF(S45&gt;=100,"Back to open",IF(OR(IF(E45="Up",Q45,R45)="1-5 min",IF(E45="Up",Q45,R45)="5-15 min"),"Continued",IF(S45&gt;=50,"Partial retrace","Stalled / chop"))))</f>
        <v/>
      </c>
      <c r="W45" s="26">
        <f>IF(OR(Q45="",R45=""),"",IFERROR(IF(AND(Q45="Not by 16:00",R45="Not by 16:00"),"Neither taken",IF(FIND("|"&amp;Q45&amp;"|","|1-5 min|5-15 min|15-60 min|9:30-11:00|11:00-16:00|Not by 16:00|")=FIND("|"&amp;R45&amp;"|","|1-5 min|5-15 min|15-60 min|9:30-11:00|11:00-16:00|Not by 16:00|"),"Same window",IF(FIND("|"&amp;Q45&amp;"|","|1-5 min|5-15 min|15-60 min|9:30-11:00|11:00-16:00|Not by 16:00|")&lt;FIND("|"&amp;R45&amp;"|","|1-5 min|5-15 min|15-60 min|9:30-11:00|11:00-16:00|Not by 16:00|"),IF(E45="Up","High first (main side)",IF(E45="Down","High first (wick side)","High first")),IF(E45="Down","Low first (main side)",IF(E45="Up","Low first (wick side)","Low first"))))),"Check entries"))</f>
        <v/>
      </c>
      <c r="X45" s="28" t="n"/>
      <c r="Y45" s="27" t="n"/>
      <c r="Z45" s="27" t="n"/>
      <c r="AA45" s="27" t="n"/>
      <c r="AB45" s="27" t="n"/>
      <c r="AC45" s="27" t="n"/>
      <c r="AD45" s="27" t="n"/>
      <c r="AE45" s="28" t="n"/>
      <c r="AF45" s="30" t="n"/>
      <c r="AG45" s="27" t="n"/>
    </row>
    <row r="46">
      <c r="A46" s="25" t="n"/>
      <c r="B46" s="26">
        <f>IF(ISNUMBER(A46),TEXT(A46,"ddd"),"")</f>
        <v/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8" t="n"/>
      <c r="M46" s="26">
        <f>IF(OR(L46="",AND(E46&lt;&gt;"Up",E46&lt;&gt;"Down")),"",IF(OR(L46="In line",L46="Mixed"),"Neutral data",IF(OR(AND(L46="Hotter",E46="Down"),AND(L46="Cooler",E46="Up")),"With data","Against data")))</f>
        <v/>
      </c>
      <c r="N46" s="28" t="n"/>
      <c r="O46" s="27" t="n"/>
      <c r="P46" s="27" t="n"/>
      <c r="Q46" s="28" t="n"/>
      <c r="R46" s="27" t="n"/>
      <c r="S46" s="29" t="n"/>
      <c r="T46" s="27" t="n"/>
      <c r="U46" s="27" t="n"/>
      <c r="V46" s="26">
        <f>IF(OR(AND(E46&lt;&gt;"Up",E46&lt;&gt;"Down"),NOT(ISNUMBER(S46)),IF(E46="Up",Q46,R46)=""),"",IF(S46&gt;=100,"Back to open",IF(OR(IF(E46="Up",Q46,R46)="1-5 min",IF(E46="Up",Q46,R46)="5-15 min"),"Continued",IF(S46&gt;=50,"Partial retrace","Stalled / chop"))))</f>
        <v/>
      </c>
      <c r="W46" s="26">
        <f>IF(OR(Q46="",R46=""),"",IFERROR(IF(AND(Q46="Not by 16:00",R46="Not by 16:00"),"Neither taken",IF(FIND("|"&amp;Q46&amp;"|","|1-5 min|5-15 min|15-60 min|9:30-11:00|11:00-16:00|Not by 16:00|")=FIND("|"&amp;R46&amp;"|","|1-5 min|5-15 min|15-60 min|9:30-11:00|11:00-16:00|Not by 16:00|"),"Same window",IF(FIND("|"&amp;Q46&amp;"|","|1-5 min|5-15 min|15-60 min|9:30-11:00|11:00-16:00|Not by 16:00|")&lt;FIND("|"&amp;R46&amp;"|","|1-5 min|5-15 min|15-60 min|9:30-11:00|11:00-16:00|Not by 16:00|"),IF(E46="Up","High first (main side)",IF(E46="Down","High first (wick side)","High first")),IF(E46="Down","Low first (main side)",IF(E46="Up","Low first (wick side)","Low first"))))),"Check entries"))</f>
        <v/>
      </c>
      <c r="X46" s="28" t="n"/>
      <c r="Y46" s="27" t="n"/>
      <c r="Z46" s="27" t="n"/>
      <c r="AA46" s="27" t="n"/>
      <c r="AB46" s="27" t="n"/>
      <c r="AC46" s="27" t="n"/>
      <c r="AD46" s="27" t="n"/>
      <c r="AE46" s="28" t="n"/>
      <c r="AF46" s="30" t="n"/>
      <c r="AG46" s="27" t="n"/>
    </row>
    <row r="47">
      <c r="A47" s="25" t="n"/>
      <c r="B47" s="26">
        <f>IF(ISNUMBER(A47),TEXT(A47,"ddd"),"")</f>
        <v/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8" t="n"/>
      <c r="M47" s="26">
        <f>IF(OR(L47="",AND(E47&lt;&gt;"Up",E47&lt;&gt;"Down")),"",IF(OR(L47="In line",L47="Mixed"),"Neutral data",IF(OR(AND(L47="Hotter",E47="Down"),AND(L47="Cooler",E47="Up")),"With data","Against data")))</f>
        <v/>
      </c>
      <c r="N47" s="28" t="n"/>
      <c r="O47" s="27" t="n"/>
      <c r="P47" s="27" t="n"/>
      <c r="Q47" s="28" t="n"/>
      <c r="R47" s="27" t="n"/>
      <c r="S47" s="29" t="n"/>
      <c r="T47" s="27" t="n"/>
      <c r="U47" s="27" t="n"/>
      <c r="V47" s="26">
        <f>IF(OR(AND(E47&lt;&gt;"Up",E47&lt;&gt;"Down"),NOT(ISNUMBER(S47)),IF(E47="Up",Q47,R47)=""),"",IF(S47&gt;=100,"Back to open",IF(OR(IF(E47="Up",Q47,R47)="1-5 min",IF(E47="Up",Q47,R47)="5-15 min"),"Continued",IF(S47&gt;=50,"Partial retrace","Stalled / chop"))))</f>
        <v/>
      </c>
      <c r="W47" s="26">
        <f>IF(OR(Q47="",R47=""),"",IFERROR(IF(AND(Q47="Not by 16:00",R47="Not by 16:00"),"Neither taken",IF(FIND("|"&amp;Q47&amp;"|","|1-5 min|5-15 min|15-60 min|9:30-11:00|11:00-16:00|Not by 16:00|")=FIND("|"&amp;R47&amp;"|","|1-5 min|5-15 min|15-60 min|9:30-11:00|11:00-16:00|Not by 16:00|"),"Same window",IF(FIND("|"&amp;Q47&amp;"|","|1-5 min|5-15 min|15-60 min|9:30-11:00|11:00-16:00|Not by 16:00|")&lt;FIND("|"&amp;R47&amp;"|","|1-5 min|5-15 min|15-60 min|9:30-11:00|11:00-16:00|Not by 16:00|"),IF(E47="Up","High first (main side)",IF(E47="Down","High first (wick side)","High first")),IF(E47="Down","Low first (main side)",IF(E47="Up","Low first (wick side)","Low first"))))),"Check entries"))</f>
        <v/>
      </c>
      <c r="X47" s="28" t="n"/>
      <c r="Y47" s="27" t="n"/>
      <c r="Z47" s="27" t="n"/>
      <c r="AA47" s="27" t="n"/>
      <c r="AB47" s="27" t="n"/>
      <c r="AC47" s="27" t="n"/>
      <c r="AD47" s="27" t="n"/>
      <c r="AE47" s="28" t="n"/>
      <c r="AF47" s="30" t="n"/>
      <c r="AG47" s="27" t="n"/>
    </row>
    <row r="48">
      <c r="A48" s="25" t="n"/>
      <c r="B48" s="26">
        <f>IF(ISNUMBER(A48),TEXT(A48,"ddd"),"")</f>
        <v/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8" t="n"/>
      <c r="M48" s="26">
        <f>IF(OR(L48="",AND(E48&lt;&gt;"Up",E48&lt;&gt;"Down")),"",IF(OR(L48="In line",L48="Mixed"),"Neutral data",IF(OR(AND(L48="Hotter",E48="Down"),AND(L48="Cooler",E48="Up")),"With data","Against data")))</f>
        <v/>
      </c>
      <c r="N48" s="28" t="n"/>
      <c r="O48" s="27" t="n"/>
      <c r="P48" s="27" t="n"/>
      <c r="Q48" s="28" t="n"/>
      <c r="R48" s="27" t="n"/>
      <c r="S48" s="29" t="n"/>
      <c r="T48" s="27" t="n"/>
      <c r="U48" s="27" t="n"/>
      <c r="V48" s="26">
        <f>IF(OR(AND(E48&lt;&gt;"Up",E48&lt;&gt;"Down"),NOT(ISNUMBER(S48)),IF(E48="Up",Q48,R48)=""),"",IF(S48&gt;=100,"Back to open",IF(OR(IF(E48="Up",Q48,R48)="1-5 min",IF(E48="Up",Q48,R48)="5-15 min"),"Continued",IF(S48&gt;=50,"Partial retrace","Stalled / chop"))))</f>
        <v/>
      </c>
      <c r="W48" s="26">
        <f>IF(OR(Q48="",R48=""),"",IFERROR(IF(AND(Q48="Not by 16:00",R48="Not by 16:00"),"Neither taken",IF(FIND("|"&amp;Q48&amp;"|","|1-5 min|5-15 min|15-60 min|9:30-11:00|11:00-16:00|Not by 16:00|")=FIND("|"&amp;R48&amp;"|","|1-5 min|5-15 min|15-60 min|9:30-11:00|11:00-16:00|Not by 16:00|"),"Same window",IF(FIND("|"&amp;Q48&amp;"|","|1-5 min|5-15 min|15-60 min|9:30-11:00|11:00-16:00|Not by 16:00|")&lt;FIND("|"&amp;R48&amp;"|","|1-5 min|5-15 min|15-60 min|9:30-11:00|11:00-16:00|Not by 16:00|"),IF(E48="Up","High first (main side)",IF(E48="Down","High first (wick side)","High first")),IF(E48="Down","Low first (main side)",IF(E48="Up","Low first (wick side)","Low first"))))),"Check entries"))</f>
        <v/>
      </c>
      <c r="X48" s="28" t="n"/>
      <c r="Y48" s="27" t="n"/>
      <c r="Z48" s="27" t="n"/>
      <c r="AA48" s="27" t="n"/>
      <c r="AB48" s="27" t="n"/>
      <c r="AC48" s="27" t="n"/>
      <c r="AD48" s="27" t="n"/>
      <c r="AE48" s="28" t="n"/>
      <c r="AF48" s="30" t="n"/>
      <c r="AG48" s="27" t="n"/>
    </row>
    <row r="49">
      <c r="A49" s="25" t="n"/>
      <c r="B49" s="26">
        <f>IF(ISNUMBER(A49),TEXT(A49,"ddd"),"")</f>
        <v/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  <c r="M49" s="26">
        <f>IF(OR(L49="",AND(E49&lt;&gt;"Up",E49&lt;&gt;"Down")),"",IF(OR(L49="In line",L49="Mixed"),"Neutral data",IF(OR(AND(L49="Hotter",E49="Down"),AND(L49="Cooler",E49="Up")),"With data","Against data")))</f>
        <v/>
      </c>
      <c r="N49" s="28" t="n"/>
      <c r="O49" s="27" t="n"/>
      <c r="P49" s="27" t="n"/>
      <c r="Q49" s="28" t="n"/>
      <c r="R49" s="27" t="n"/>
      <c r="S49" s="29" t="n"/>
      <c r="T49" s="27" t="n"/>
      <c r="U49" s="27" t="n"/>
      <c r="V49" s="26">
        <f>IF(OR(AND(E49&lt;&gt;"Up",E49&lt;&gt;"Down"),NOT(ISNUMBER(S49)),IF(E49="Up",Q49,R49)=""),"",IF(S49&gt;=100,"Back to open",IF(OR(IF(E49="Up",Q49,R49)="1-5 min",IF(E49="Up",Q49,R49)="5-15 min"),"Continued",IF(S49&gt;=50,"Partial retrace","Stalled / chop"))))</f>
        <v/>
      </c>
      <c r="W49" s="26">
        <f>IF(OR(Q49="",R49=""),"",IFERROR(IF(AND(Q49="Not by 16:00",R49="Not by 16:00"),"Neither taken",IF(FIND("|"&amp;Q49&amp;"|","|1-5 min|5-15 min|15-60 min|9:30-11:00|11:00-16:00|Not by 16:00|")=FIND("|"&amp;R49&amp;"|","|1-5 min|5-15 min|15-60 min|9:30-11:00|11:00-16:00|Not by 16:00|"),"Same window",IF(FIND("|"&amp;Q49&amp;"|","|1-5 min|5-15 min|15-60 min|9:30-11:00|11:00-16:00|Not by 16:00|")&lt;FIND("|"&amp;R49&amp;"|","|1-5 min|5-15 min|15-60 min|9:30-11:00|11:00-16:00|Not by 16:00|"),IF(E49="Up","High first (main side)",IF(E49="Down","High first (wick side)","High first")),IF(E49="Down","Low first (main side)",IF(E49="Up","Low first (wick side)","Low first"))))),"Check entries"))</f>
        <v/>
      </c>
      <c r="X49" s="28" t="n"/>
      <c r="Y49" s="27" t="n"/>
      <c r="Z49" s="27" t="n"/>
      <c r="AA49" s="27" t="n"/>
      <c r="AB49" s="27" t="n"/>
      <c r="AC49" s="27" t="n"/>
      <c r="AD49" s="27" t="n"/>
      <c r="AE49" s="28" t="n"/>
      <c r="AF49" s="30" t="n"/>
      <c r="AG49" s="27" t="n"/>
    </row>
    <row r="50">
      <c r="A50" s="25" t="n"/>
      <c r="B50" s="26">
        <f>IF(ISNUMBER(A50),TEXT(A50,"ddd"),"")</f>
        <v/>
      </c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8" t="n"/>
      <c r="M50" s="26">
        <f>IF(OR(L50="",AND(E50&lt;&gt;"Up",E50&lt;&gt;"Down")),"",IF(OR(L50="In line",L50="Mixed"),"Neutral data",IF(OR(AND(L50="Hotter",E50="Down"),AND(L50="Cooler",E50="Up")),"With data","Against data")))</f>
        <v/>
      </c>
      <c r="N50" s="28" t="n"/>
      <c r="O50" s="27" t="n"/>
      <c r="P50" s="27" t="n"/>
      <c r="Q50" s="28" t="n"/>
      <c r="R50" s="27" t="n"/>
      <c r="S50" s="29" t="n"/>
      <c r="T50" s="27" t="n"/>
      <c r="U50" s="27" t="n"/>
      <c r="V50" s="26">
        <f>IF(OR(AND(E50&lt;&gt;"Up",E50&lt;&gt;"Down"),NOT(ISNUMBER(S50)),IF(E50="Up",Q50,R50)=""),"",IF(S50&gt;=100,"Back to open",IF(OR(IF(E50="Up",Q50,R50)="1-5 min",IF(E50="Up",Q50,R50)="5-15 min"),"Continued",IF(S50&gt;=50,"Partial retrace","Stalled / chop"))))</f>
        <v/>
      </c>
      <c r="W50" s="26">
        <f>IF(OR(Q50="",R50=""),"",IFERROR(IF(AND(Q50="Not by 16:00",R50="Not by 16:00"),"Neither taken",IF(FIND("|"&amp;Q50&amp;"|","|1-5 min|5-15 min|15-60 min|9:30-11:00|11:00-16:00|Not by 16:00|")=FIND("|"&amp;R50&amp;"|","|1-5 min|5-15 min|15-60 min|9:30-11:00|11:00-16:00|Not by 16:00|"),"Same window",IF(FIND("|"&amp;Q50&amp;"|","|1-5 min|5-15 min|15-60 min|9:30-11:00|11:00-16:00|Not by 16:00|")&lt;FIND("|"&amp;R50&amp;"|","|1-5 min|5-15 min|15-60 min|9:30-11:00|11:00-16:00|Not by 16:00|"),IF(E50="Up","High first (main side)",IF(E50="Down","High first (wick side)","High first")),IF(E50="Down","Low first (main side)",IF(E50="Up","Low first (wick side)","Low first"))))),"Check entries"))</f>
        <v/>
      </c>
      <c r="X50" s="28" t="n"/>
      <c r="Y50" s="27" t="n"/>
      <c r="Z50" s="27" t="n"/>
      <c r="AA50" s="27" t="n"/>
      <c r="AB50" s="27" t="n"/>
      <c r="AC50" s="27" t="n"/>
      <c r="AD50" s="27" t="n"/>
      <c r="AE50" s="28" t="n"/>
      <c r="AF50" s="30" t="n"/>
      <c r="AG50" s="27" t="n"/>
    </row>
    <row r="51">
      <c r="A51" s="25" t="n"/>
      <c r="B51" s="26">
        <f>IF(ISNUMBER(A51),TEXT(A51,"ddd"),"")</f>
        <v/>
      </c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8" t="n"/>
      <c r="M51" s="26">
        <f>IF(OR(L51="",AND(E51&lt;&gt;"Up",E51&lt;&gt;"Down")),"",IF(OR(L51="In line",L51="Mixed"),"Neutral data",IF(OR(AND(L51="Hotter",E51="Down"),AND(L51="Cooler",E51="Up")),"With data","Against data")))</f>
        <v/>
      </c>
      <c r="N51" s="28" t="n"/>
      <c r="O51" s="27" t="n"/>
      <c r="P51" s="27" t="n"/>
      <c r="Q51" s="28" t="n"/>
      <c r="R51" s="27" t="n"/>
      <c r="S51" s="29" t="n"/>
      <c r="T51" s="27" t="n"/>
      <c r="U51" s="27" t="n"/>
      <c r="V51" s="26">
        <f>IF(OR(AND(E51&lt;&gt;"Up",E51&lt;&gt;"Down"),NOT(ISNUMBER(S51)),IF(E51="Up",Q51,R51)=""),"",IF(S51&gt;=100,"Back to open",IF(OR(IF(E51="Up",Q51,R51)="1-5 min",IF(E51="Up",Q51,R51)="5-15 min"),"Continued",IF(S51&gt;=50,"Partial retrace","Stalled / chop"))))</f>
        <v/>
      </c>
      <c r="W51" s="26">
        <f>IF(OR(Q51="",R51=""),"",IFERROR(IF(AND(Q51="Not by 16:00",R51="Not by 16:00"),"Neither taken",IF(FIND("|"&amp;Q51&amp;"|","|1-5 min|5-15 min|15-60 min|9:30-11:00|11:00-16:00|Not by 16:00|")=FIND("|"&amp;R51&amp;"|","|1-5 min|5-15 min|15-60 min|9:30-11:00|11:00-16:00|Not by 16:00|"),"Same window",IF(FIND("|"&amp;Q51&amp;"|","|1-5 min|5-15 min|15-60 min|9:30-11:00|11:00-16:00|Not by 16:00|")&lt;FIND("|"&amp;R51&amp;"|","|1-5 min|5-15 min|15-60 min|9:30-11:00|11:00-16:00|Not by 16:00|"),IF(E51="Up","High first (main side)",IF(E51="Down","High first (wick side)","High first")),IF(E51="Down","Low first (main side)",IF(E51="Up","Low first (wick side)","Low first"))))),"Check entries"))</f>
        <v/>
      </c>
      <c r="X51" s="28" t="n"/>
      <c r="Y51" s="27" t="n"/>
      <c r="Z51" s="27" t="n"/>
      <c r="AA51" s="27" t="n"/>
      <c r="AB51" s="27" t="n"/>
      <c r="AC51" s="27" t="n"/>
      <c r="AD51" s="27" t="n"/>
      <c r="AE51" s="28" t="n"/>
      <c r="AF51" s="30" t="n"/>
      <c r="AG51" s="27" t="n"/>
    </row>
    <row r="52">
      <c r="A52" s="25" t="n"/>
      <c r="B52" s="26">
        <f>IF(ISNUMBER(A52),TEXT(A52,"ddd"),"")</f>
        <v/>
      </c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8" t="n"/>
      <c r="M52" s="26">
        <f>IF(OR(L52="",AND(E52&lt;&gt;"Up",E52&lt;&gt;"Down")),"",IF(OR(L52="In line",L52="Mixed"),"Neutral data",IF(OR(AND(L52="Hotter",E52="Down"),AND(L52="Cooler",E52="Up")),"With data","Against data")))</f>
        <v/>
      </c>
      <c r="N52" s="28" t="n"/>
      <c r="O52" s="27" t="n"/>
      <c r="P52" s="27" t="n"/>
      <c r="Q52" s="28" t="n"/>
      <c r="R52" s="27" t="n"/>
      <c r="S52" s="29" t="n"/>
      <c r="T52" s="27" t="n"/>
      <c r="U52" s="27" t="n"/>
      <c r="V52" s="26">
        <f>IF(OR(AND(E52&lt;&gt;"Up",E52&lt;&gt;"Down"),NOT(ISNUMBER(S52)),IF(E52="Up",Q52,R52)=""),"",IF(S52&gt;=100,"Back to open",IF(OR(IF(E52="Up",Q52,R52)="1-5 min",IF(E52="Up",Q52,R52)="5-15 min"),"Continued",IF(S52&gt;=50,"Partial retrace","Stalled / chop"))))</f>
        <v/>
      </c>
      <c r="W52" s="26">
        <f>IF(OR(Q52="",R52=""),"",IFERROR(IF(AND(Q52="Not by 16:00",R52="Not by 16:00"),"Neither taken",IF(FIND("|"&amp;Q52&amp;"|","|1-5 min|5-15 min|15-60 min|9:30-11:00|11:00-16:00|Not by 16:00|")=FIND("|"&amp;R52&amp;"|","|1-5 min|5-15 min|15-60 min|9:30-11:00|11:00-16:00|Not by 16:00|"),"Same window",IF(FIND("|"&amp;Q52&amp;"|","|1-5 min|5-15 min|15-60 min|9:30-11:00|11:00-16:00|Not by 16:00|")&lt;FIND("|"&amp;R52&amp;"|","|1-5 min|5-15 min|15-60 min|9:30-11:00|11:00-16:00|Not by 16:00|"),IF(E52="Up","High first (main side)",IF(E52="Down","High first (wick side)","High first")),IF(E52="Down","Low first (main side)",IF(E52="Up","Low first (wick side)","Low first"))))),"Check entries"))</f>
        <v/>
      </c>
      <c r="X52" s="28" t="n"/>
      <c r="Y52" s="27" t="n"/>
      <c r="Z52" s="27" t="n"/>
      <c r="AA52" s="27" t="n"/>
      <c r="AB52" s="27" t="n"/>
      <c r="AC52" s="27" t="n"/>
      <c r="AD52" s="27" t="n"/>
      <c r="AE52" s="28" t="n"/>
      <c r="AF52" s="30" t="n"/>
      <c r="AG52" s="27" t="n"/>
    </row>
    <row r="53">
      <c r="A53" s="25" t="n"/>
      <c r="B53" s="26">
        <f>IF(ISNUMBER(A53),TEXT(A53,"ddd"),"")</f>
        <v/>
      </c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8" t="n"/>
      <c r="M53" s="26">
        <f>IF(OR(L53="",AND(E53&lt;&gt;"Up",E53&lt;&gt;"Down")),"",IF(OR(L53="In line",L53="Mixed"),"Neutral data",IF(OR(AND(L53="Hotter",E53="Down"),AND(L53="Cooler",E53="Up")),"With data","Against data")))</f>
        <v/>
      </c>
      <c r="N53" s="28" t="n"/>
      <c r="O53" s="27" t="n"/>
      <c r="P53" s="27" t="n"/>
      <c r="Q53" s="28" t="n"/>
      <c r="R53" s="27" t="n"/>
      <c r="S53" s="29" t="n"/>
      <c r="T53" s="27" t="n"/>
      <c r="U53" s="27" t="n"/>
      <c r="V53" s="26">
        <f>IF(OR(AND(E53&lt;&gt;"Up",E53&lt;&gt;"Down"),NOT(ISNUMBER(S53)),IF(E53="Up",Q53,R53)=""),"",IF(S53&gt;=100,"Back to open",IF(OR(IF(E53="Up",Q53,R53)="1-5 min",IF(E53="Up",Q53,R53)="5-15 min"),"Continued",IF(S53&gt;=50,"Partial retrace","Stalled / chop"))))</f>
        <v/>
      </c>
      <c r="W53" s="26">
        <f>IF(OR(Q53="",R53=""),"",IFERROR(IF(AND(Q53="Not by 16:00",R53="Not by 16:00"),"Neither taken",IF(FIND("|"&amp;Q53&amp;"|","|1-5 min|5-15 min|15-60 min|9:30-11:00|11:00-16:00|Not by 16:00|")=FIND("|"&amp;R53&amp;"|","|1-5 min|5-15 min|15-60 min|9:30-11:00|11:00-16:00|Not by 16:00|"),"Same window",IF(FIND("|"&amp;Q53&amp;"|","|1-5 min|5-15 min|15-60 min|9:30-11:00|11:00-16:00|Not by 16:00|")&lt;FIND("|"&amp;R53&amp;"|","|1-5 min|5-15 min|15-60 min|9:30-11:00|11:00-16:00|Not by 16:00|"),IF(E53="Up","High first (main side)",IF(E53="Down","High first (wick side)","High first")),IF(E53="Down","Low first (main side)",IF(E53="Up","Low first (wick side)","Low first"))))),"Check entries"))</f>
        <v/>
      </c>
      <c r="X53" s="28" t="n"/>
      <c r="Y53" s="27" t="n"/>
      <c r="Z53" s="27" t="n"/>
      <c r="AA53" s="27" t="n"/>
      <c r="AB53" s="27" t="n"/>
      <c r="AC53" s="27" t="n"/>
      <c r="AD53" s="27" t="n"/>
      <c r="AE53" s="28" t="n"/>
      <c r="AF53" s="30" t="n"/>
      <c r="AG53" s="27" t="n"/>
    </row>
    <row r="54">
      <c r="A54" s="25" t="n"/>
      <c r="B54" s="26">
        <f>IF(ISNUMBER(A54),TEXT(A54,"ddd"),"")</f>
        <v/>
      </c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8" t="n"/>
      <c r="M54" s="26">
        <f>IF(OR(L54="",AND(E54&lt;&gt;"Up",E54&lt;&gt;"Down")),"",IF(OR(L54="In line",L54="Mixed"),"Neutral data",IF(OR(AND(L54="Hotter",E54="Down"),AND(L54="Cooler",E54="Up")),"With data","Against data")))</f>
        <v/>
      </c>
      <c r="N54" s="28" t="n"/>
      <c r="O54" s="27" t="n"/>
      <c r="P54" s="27" t="n"/>
      <c r="Q54" s="28" t="n"/>
      <c r="R54" s="27" t="n"/>
      <c r="S54" s="29" t="n"/>
      <c r="T54" s="27" t="n"/>
      <c r="U54" s="27" t="n"/>
      <c r="V54" s="26">
        <f>IF(OR(AND(E54&lt;&gt;"Up",E54&lt;&gt;"Down"),NOT(ISNUMBER(S54)),IF(E54="Up",Q54,R54)=""),"",IF(S54&gt;=100,"Back to open",IF(OR(IF(E54="Up",Q54,R54)="1-5 min",IF(E54="Up",Q54,R54)="5-15 min"),"Continued",IF(S54&gt;=50,"Partial retrace","Stalled / chop"))))</f>
        <v/>
      </c>
      <c r="W54" s="26">
        <f>IF(OR(Q54="",R54=""),"",IFERROR(IF(AND(Q54="Not by 16:00",R54="Not by 16:00"),"Neither taken",IF(FIND("|"&amp;Q54&amp;"|","|1-5 min|5-15 min|15-60 min|9:30-11:00|11:00-16:00|Not by 16:00|")=FIND("|"&amp;R54&amp;"|","|1-5 min|5-15 min|15-60 min|9:30-11:00|11:00-16:00|Not by 16:00|"),"Same window",IF(FIND("|"&amp;Q54&amp;"|","|1-5 min|5-15 min|15-60 min|9:30-11:00|11:00-16:00|Not by 16:00|")&lt;FIND("|"&amp;R54&amp;"|","|1-5 min|5-15 min|15-60 min|9:30-11:00|11:00-16:00|Not by 16:00|"),IF(E54="Up","High first (main side)",IF(E54="Down","High first (wick side)","High first")),IF(E54="Down","Low first (main side)",IF(E54="Up","Low first (wick side)","Low first"))))),"Check entries"))</f>
        <v/>
      </c>
      <c r="X54" s="28" t="n"/>
      <c r="Y54" s="27" t="n"/>
      <c r="Z54" s="27" t="n"/>
      <c r="AA54" s="27" t="n"/>
      <c r="AB54" s="27" t="n"/>
      <c r="AC54" s="27" t="n"/>
      <c r="AD54" s="27" t="n"/>
      <c r="AE54" s="28" t="n"/>
      <c r="AF54" s="30" t="n"/>
      <c r="AG54" s="27" t="n"/>
    </row>
    <row r="55">
      <c r="A55" s="25" t="n"/>
      <c r="B55" s="26">
        <f>IF(ISNUMBER(A55),TEXT(A55,"ddd"),"")</f>
        <v/>
      </c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8" t="n"/>
      <c r="M55" s="26">
        <f>IF(OR(L55="",AND(E55&lt;&gt;"Up",E55&lt;&gt;"Down")),"",IF(OR(L55="In line",L55="Mixed"),"Neutral data",IF(OR(AND(L55="Hotter",E55="Down"),AND(L55="Cooler",E55="Up")),"With data","Against data")))</f>
        <v/>
      </c>
      <c r="N55" s="28" t="n"/>
      <c r="O55" s="27" t="n"/>
      <c r="P55" s="27" t="n"/>
      <c r="Q55" s="28" t="n"/>
      <c r="R55" s="27" t="n"/>
      <c r="S55" s="29" t="n"/>
      <c r="T55" s="27" t="n"/>
      <c r="U55" s="27" t="n"/>
      <c r="V55" s="26">
        <f>IF(OR(AND(E55&lt;&gt;"Up",E55&lt;&gt;"Down"),NOT(ISNUMBER(S55)),IF(E55="Up",Q55,R55)=""),"",IF(S55&gt;=100,"Back to open",IF(OR(IF(E55="Up",Q55,R55)="1-5 min",IF(E55="Up",Q55,R55)="5-15 min"),"Continued",IF(S55&gt;=50,"Partial retrace","Stalled / chop"))))</f>
        <v/>
      </c>
      <c r="W55" s="26">
        <f>IF(OR(Q55="",R55=""),"",IFERROR(IF(AND(Q55="Not by 16:00",R55="Not by 16:00"),"Neither taken",IF(FIND("|"&amp;Q55&amp;"|","|1-5 min|5-15 min|15-60 min|9:30-11:00|11:00-16:00|Not by 16:00|")=FIND("|"&amp;R55&amp;"|","|1-5 min|5-15 min|15-60 min|9:30-11:00|11:00-16:00|Not by 16:00|"),"Same window",IF(FIND("|"&amp;Q55&amp;"|","|1-5 min|5-15 min|15-60 min|9:30-11:00|11:00-16:00|Not by 16:00|")&lt;FIND("|"&amp;R55&amp;"|","|1-5 min|5-15 min|15-60 min|9:30-11:00|11:00-16:00|Not by 16:00|"),IF(E55="Up","High first (main side)",IF(E55="Down","High first (wick side)","High first")),IF(E55="Down","Low first (main side)",IF(E55="Up","Low first (wick side)","Low first"))))),"Check entries"))</f>
        <v/>
      </c>
      <c r="X55" s="28" t="n"/>
      <c r="Y55" s="27" t="n"/>
      <c r="Z55" s="27" t="n"/>
      <c r="AA55" s="27" t="n"/>
      <c r="AB55" s="27" t="n"/>
      <c r="AC55" s="27" t="n"/>
      <c r="AD55" s="27" t="n"/>
      <c r="AE55" s="28" t="n"/>
      <c r="AF55" s="30" t="n"/>
      <c r="AG55" s="27" t="n"/>
    </row>
    <row r="56">
      <c r="A56" s="25" t="n"/>
      <c r="B56" s="26">
        <f>IF(ISNUMBER(A56),TEXT(A56,"ddd"),"")</f>
        <v/>
      </c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8" t="n"/>
      <c r="M56" s="26">
        <f>IF(OR(L56="",AND(E56&lt;&gt;"Up",E56&lt;&gt;"Down")),"",IF(OR(L56="In line",L56="Mixed"),"Neutral data",IF(OR(AND(L56="Hotter",E56="Down"),AND(L56="Cooler",E56="Up")),"With data","Against data")))</f>
        <v/>
      </c>
      <c r="N56" s="28" t="n"/>
      <c r="O56" s="27" t="n"/>
      <c r="P56" s="27" t="n"/>
      <c r="Q56" s="28" t="n"/>
      <c r="R56" s="27" t="n"/>
      <c r="S56" s="29" t="n"/>
      <c r="T56" s="27" t="n"/>
      <c r="U56" s="27" t="n"/>
      <c r="V56" s="26">
        <f>IF(OR(AND(E56&lt;&gt;"Up",E56&lt;&gt;"Down"),NOT(ISNUMBER(S56)),IF(E56="Up",Q56,R56)=""),"",IF(S56&gt;=100,"Back to open",IF(OR(IF(E56="Up",Q56,R56)="1-5 min",IF(E56="Up",Q56,R56)="5-15 min"),"Continued",IF(S56&gt;=50,"Partial retrace","Stalled / chop"))))</f>
        <v/>
      </c>
      <c r="W56" s="26">
        <f>IF(OR(Q56="",R56=""),"",IFERROR(IF(AND(Q56="Not by 16:00",R56="Not by 16:00"),"Neither taken",IF(FIND("|"&amp;Q56&amp;"|","|1-5 min|5-15 min|15-60 min|9:30-11:00|11:00-16:00|Not by 16:00|")=FIND("|"&amp;R56&amp;"|","|1-5 min|5-15 min|15-60 min|9:30-11:00|11:00-16:00|Not by 16:00|"),"Same window",IF(FIND("|"&amp;Q56&amp;"|","|1-5 min|5-15 min|15-60 min|9:30-11:00|11:00-16:00|Not by 16:00|")&lt;FIND("|"&amp;R56&amp;"|","|1-5 min|5-15 min|15-60 min|9:30-11:00|11:00-16:00|Not by 16:00|"),IF(E56="Up","High first (main side)",IF(E56="Down","High first (wick side)","High first")),IF(E56="Down","Low first (main side)",IF(E56="Up","Low first (wick side)","Low first"))))),"Check entries"))</f>
        <v/>
      </c>
      <c r="X56" s="28" t="n"/>
      <c r="Y56" s="27" t="n"/>
      <c r="Z56" s="27" t="n"/>
      <c r="AA56" s="27" t="n"/>
      <c r="AB56" s="27" t="n"/>
      <c r="AC56" s="27" t="n"/>
      <c r="AD56" s="27" t="n"/>
      <c r="AE56" s="28" t="n"/>
      <c r="AF56" s="30" t="n"/>
      <c r="AG56" s="27" t="n"/>
    </row>
    <row r="57">
      <c r="A57" s="25" t="n"/>
      <c r="B57" s="26">
        <f>IF(ISNUMBER(A57),TEXT(A57,"ddd"),"")</f>
        <v/>
      </c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8" t="n"/>
      <c r="M57" s="26">
        <f>IF(OR(L57="",AND(E57&lt;&gt;"Up",E57&lt;&gt;"Down")),"",IF(OR(L57="In line",L57="Mixed"),"Neutral data",IF(OR(AND(L57="Hotter",E57="Down"),AND(L57="Cooler",E57="Up")),"With data","Against data")))</f>
        <v/>
      </c>
      <c r="N57" s="28" t="n"/>
      <c r="O57" s="27" t="n"/>
      <c r="P57" s="27" t="n"/>
      <c r="Q57" s="28" t="n"/>
      <c r="R57" s="27" t="n"/>
      <c r="S57" s="29" t="n"/>
      <c r="T57" s="27" t="n"/>
      <c r="U57" s="27" t="n"/>
      <c r="V57" s="26">
        <f>IF(OR(AND(E57&lt;&gt;"Up",E57&lt;&gt;"Down"),NOT(ISNUMBER(S57)),IF(E57="Up",Q57,R57)=""),"",IF(S57&gt;=100,"Back to open",IF(OR(IF(E57="Up",Q57,R57)="1-5 min",IF(E57="Up",Q57,R57)="5-15 min"),"Continued",IF(S57&gt;=50,"Partial retrace","Stalled / chop"))))</f>
        <v/>
      </c>
      <c r="W57" s="26">
        <f>IF(OR(Q57="",R57=""),"",IFERROR(IF(AND(Q57="Not by 16:00",R57="Not by 16:00"),"Neither taken",IF(FIND("|"&amp;Q57&amp;"|","|1-5 min|5-15 min|15-60 min|9:30-11:00|11:00-16:00|Not by 16:00|")=FIND("|"&amp;R57&amp;"|","|1-5 min|5-15 min|15-60 min|9:30-11:00|11:00-16:00|Not by 16:00|"),"Same window",IF(FIND("|"&amp;Q57&amp;"|","|1-5 min|5-15 min|15-60 min|9:30-11:00|11:00-16:00|Not by 16:00|")&lt;FIND("|"&amp;R57&amp;"|","|1-5 min|5-15 min|15-60 min|9:30-11:00|11:00-16:00|Not by 16:00|"),IF(E57="Up","High first (main side)",IF(E57="Down","High first (wick side)","High first")),IF(E57="Down","Low first (main side)",IF(E57="Up","Low first (wick side)","Low first"))))),"Check entries"))</f>
        <v/>
      </c>
      <c r="X57" s="28" t="n"/>
      <c r="Y57" s="27" t="n"/>
      <c r="Z57" s="27" t="n"/>
      <c r="AA57" s="27" t="n"/>
      <c r="AB57" s="27" t="n"/>
      <c r="AC57" s="27" t="n"/>
      <c r="AD57" s="27" t="n"/>
      <c r="AE57" s="28" t="n"/>
      <c r="AF57" s="30" t="n"/>
      <c r="AG57" s="27" t="n"/>
    </row>
    <row r="58">
      <c r="A58" s="25" t="n"/>
      <c r="B58" s="26">
        <f>IF(ISNUMBER(A58),TEXT(A58,"ddd"),"")</f>
        <v/>
      </c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8" t="n"/>
      <c r="M58" s="26">
        <f>IF(OR(L58="",AND(E58&lt;&gt;"Up",E58&lt;&gt;"Down")),"",IF(OR(L58="In line",L58="Mixed"),"Neutral data",IF(OR(AND(L58="Hotter",E58="Down"),AND(L58="Cooler",E58="Up")),"With data","Against data")))</f>
        <v/>
      </c>
      <c r="N58" s="28" t="n"/>
      <c r="O58" s="27" t="n"/>
      <c r="P58" s="27" t="n"/>
      <c r="Q58" s="28" t="n"/>
      <c r="R58" s="27" t="n"/>
      <c r="S58" s="29" t="n"/>
      <c r="T58" s="27" t="n"/>
      <c r="U58" s="27" t="n"/>
      <c r="V58" s="26">
        <f>IF(OR(AND(E58&lt;&gt;"Up",E58&lt;&gt;"Down"),NOT(ISNUMBER(S58)),IF(E58="Up",Q58,R58)=""),"",IF(S58&gt;=100,"Back to open",IF(OR(IF(E58="Up",Q58,R58)="1-5 min",IF(E58="Up",Q58,R58)="5-15 min"),"Continued",IF(S58&gt;=50,"Partial retrace","Stalled / chop"))))</f>
        <v/>
      </c>
      <c r="W58" s="26">
        <f>IF(OR(Q58="",R58=""),"",IFERROR(IF(AND(Q58="Not by 16:00",R58="Not by 16:00"),"Neither taken",IF(FIND("|"&amp;Q58&amp;"|","|1-5 min|5-15 min|15-60 min|9:30-11:00|11:00-16:00|Not by 16:00|")=FIND("|"&amp;R58&amp;"|","|1-5 min|5-15 min|15-60 min|9:30-11:00|11:00-16:00|Not by 16:00|"),"Same window",IF(FIND("|"&amp;Q58&amp;"|","|1-5 min|5-15 min|15-60 min|9:30-11:00|11:00-16:00|Not by 16:00|")&lt;FIND("|"&amp;R58&amp;"|","|1-5 min|5-15 min|15-60 min|9:30-11:00|11:00-16:00|Not by 16:00|"),IF(E58="Up","High first (main side)",IF(E58="Down","High first (wick side)","High first")),IF(E58="Down","Low first (main side)",IF(E58="Up","Low first (wick side)","Low first"))))),"Check entries"))</f>
        <v/>
      </c>
      <c r="X58" s="28" t="n"/>
      <c r="Y58" s="27" t="n"/>
      <c r="Z58" s="27" t="n"/>
      <c r="AA58" s="27" t="n"/>
      <c r="AB58" s="27" t="n"/>
      <c r="AC58" s="27" t="n"/>
      <c r="AD58" s="27" t="n"/>
      <c r="AE58" s="28" t="n"/>
      <c r="AF58" s="30" t="n"/>
      <c r="AG58" s="27" t="n"/>
    </row>
    <row r="59">
      <c r="A59" s="25" t="n"/>
      <c r="B59" s="26">
        <f>IF(ISNUMBER(A59),TEXT(A59,"ddd"),"")</f>
        <v/>
      </c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8" t="n"/>
      <c r="M59" s="26">
        <f>IF(OR(L59="",AND(E59&lt;&gt;"Up",E59&lt;&gt;"Down")),"",IF(OR(L59="In line",L59="Mixed"),"Neutral data",IF(OR(AND(L59="Hotter",E59="Down"),AND(L59="Cooler",E59="Up")),"With data","Against data")))</f>
        <v/>
      </c>
      <c r="N59" s="28" t="n"/>
      <c r="O59" s="27" t="n"/>
      <c r="P59" s="27" t="n"/>
      <c r="Q59" s="28" t="n"/>
      <c r="R59" s="27" t="n"/>
      <c r="S59" s="29" t="n"/>
      <c r="T59" s="27" t="n"/>
      <c r="U59" s="27" t="n"/>
      <c r="V59" s="26">
        <f>IF(OR(AND(E59&lt;&gt;"Up",E59&lt;&gt;"Down"),NOT(ISNUMBER(S59)),IF(E59="Up",Q59,R59)=""),"",IF(S59&gt;=100,"Back to open",IF(OR(IF(E59="Up",Q59,R59)="1-5 min",IF(E59="Up",Q59,R59)="5-15 min"),"Continued",IF(S59&gt;=50,"Partial retrace","Stalled / chop"))))</f>
        <v/>
      </c>
      <c r="W59" s="26">
        <f>IF(OR(Q59="",R59=""),"",IFERROR(IF(AND(Q59="Not by 16:00",R59="Not by 16:00"),"Neither taken",IF(FIND("|"&amp;Q59&amp;"|","|1-5 min|5-15 min|15-60 min|9:30-11:00|11:00-16:00|Not by 16:00|")=FIND("|"&amp;R59&amp;"|","|1-5 min|5-15 min|15-60 min|9:30-11:00|11:00-16:00|Not by 16:00|"),"Same window",IF(FIND("|"&amp;Q59&amp;"|","|1-5 min|5-15 min|15-60 min|9:30-11:00|11:00-16:00|Not by 16:00|")&lt;FIND("|"&amp;R59&amp;"|","|1-5 min|5-15 min|15-60 min|9:30-11:00|11:00-16:00|Not by 16:00|"),IF(E59="Up","High first (main side)",IF(E59="Down","High first (wick side)","High first")),IF(E59="Down","Low first (main side)",IF(E59="Up","Low first (wick side)","Low first"))))),"Check entries"))</f>
        <v/>
      </c>
      <c r="X59" s="28" t="n"/>
      <c r="Y59" s="27" t="n"/>
      <c r="Z59" s="27" t="n"/>
      <c r="AA59" s="27" t="n"/>
      <c r="AB59" s="27" t="n"/>
      <c r="AC59" s="27" t="n"/>
      <c r="AD59" s="27" t="n"/>
      <c r="AE59" s="28" t="n"/>
      <c r="AF59" s="30" t="n"/>
      <c r="AG59" s="27" t="n"/>
    </row>
    <row r="60">
      <c r="A60" s="25" t="n"/>
      <c r="B60" s="26">
        <f>IF(ISNUMBER(A60),TEXT(A60,"ddd"),"")</f>
        <v/>
      </c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8" t="n"/>
      <c r="M60" s="26">
        <f>IF(OR(L60="",AND(E60&lt;&gt;"Up",E60&lt;&gt;"Down")),"",IF(OR(L60="In line",L60="Mixed"),"Neutral data",IF(OR(AND(L60="Hotter",E60="Down"),AND(L60="Cooler",E60="Up")),"With data","Against data")))</f>
        <v/>
      </c>
      <c r="N60" s="28" t="n"/>
      <c r="O60" s="27" t="n"/>
      <c r="P60" s="27" t="n"/>
      <c r="Q60" s="28" t="n"/>
      <c r="R60" s="27" t="n"/>
      <c r="S60" s="29" t="n"/>
      <c r="T60" s="27" t="n"/>
      <c r="U60" s="27" t="n"/>
      <c r="V60" s="26">
        <f>IF(OR(AND(E60&lt;&gt;"Up",E60&lt;&gt;"Down"),NOT(ISNUMBER(S60)),IF(E60="Up",Q60,R60)=""),"",IF(S60&gt;=100,"Back to open",IF(OR(IF(E60="Up",Q60,R60)="1-5 min",IF(E60="Up",Q60,R60)="5-15 min"),"Continued",IF(S60&gt;=50,"Partial retrace","Stalled / chop"))))</f>
        <v/>
      </c>
      <c r="W60" s="26">
        <f>IF(OR(Q60="",R60=""),"",IFERROR(IF(AND(Q60="Not by 16:00",R60="Not by 16:00"),"Neither taken",IF(FIND("|"&amp;Q60&amp;"|","|1-5 min|5-15 min|15-60 min|9:30-11:00|11:00-16:00|Not by 16:00|")=FIND("|"&amp;R60&amp;"|","|1-5 min|5-15 min|15-60 min|9:30-11:00|11:00-16:00|Not by 16:00|"),"Same window",IF(FIND("|"&amp;Q60&amp;"|","|1-5 min|5-15 min|15-60 min|9:30-11:00|11:00-16:00|Not by 16:00|")&lt;FIND("|"&amp;R60&amp;"|","|1-5 min|5-15 min|15-60 min|9:30-11:00|11:00-16:00|Not by 16:00|"),IF(E60="Up","High first (main side)",IF(E60="Down","High first (wick side)","High first")),IF(E60="Down","Low first (main side)",IF(E60="Up","Low first (wick side)","Low first"))))),"Check entries"))</f>
        <v/>
      </c>
      <c r="X60" s="28" t="n"/>
      <c r="Y60" s="27" t="n"/>
      <c r="Z60" s="27" t="n"/>
      <c r="AA60" s="27" t="n"/>
      <c r="AB60" s="27" t="n"/>
      <c r="AC60" s="27" t="n"/>
      <c r="AD60" s="27" t="n"/>
      <c r="AE60" s="28" t="n"/>
      <c r="AF60" s="30" t="n"/>
      <c r="AG60" s="27" t="n"/>
    </row>
    <row r="61">
      <c r="A61" s="25" t="n"/>
      <c r="B61" s="26">
        <f>IF(ISNUMBER(A61),TEXT(A61,"ddd"),"")</f>
        <v/>
      </c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26">
        <f>IF(OR(L61="",AND(E61&lt;&gt;"Up",E61&lt;&gt;"Down")),"",IF(OR(L61="In line",L61="Mixed"),"Neutral data",IF(OR(AND(L61="Hotter",E61="Down"),AND(L61="Cooler",E61="Up")),"With data","Against data")))</f>
        <v/>
      </c>
      <c r="N61" s="28" t="n"/>
      <c r="O61" s="27" t="n"/>
      <c r="P61" s="27" t="n"/>
      <c r="Q61" s="28" t="n"/>
      <c r="R61" s="27" t="n"/>
      <c r="S61" s="29" t="n"/>
      <c r="T61" s="27" t="n"/>
      <c r="U61" s="27" t="n"/>
      <c r="V61" s="26">
        <f>IF(OR(AND(E61&lt;&gt;"Up",E61&lt;&gt;"Down"),NOT(ISNUMBER(S61)),IF(E61="Up",Q61,R61)=""),"",IF(S61&gt;=100,"Back to open",IF(OR(IF(E61="Up",Q61,R61)="1-5 min",IF(E61="Up",Q61,R61)="5-15 min"),"Continued",IF(S61&gt;=50,"Partial retrace","Stalled / chop"))))</f>
        <v/>
      </c>
      <c r="W61" s="26">
        <f>IF(OR(Q61="",R61=""),"",IFERROR(IF(AND(Q61="Not by 16:00",R61="Not by 16:00"),"Neither taken",IF(FIND("|"&amp;Q61&amp;"|","|1-5 min|5-15 min|15-60 min|9:30-11:00|11:00-16:00|Not by 16:00|")=FIND("|"&amp;R61&amp;"|","|1-5 min|5-15 min|15-60 min|9:30-11:00|11:00-16:00|Not by 16:00|"),"Same window",IF(FIND("|"&amp;Q61&amp;"|","|1-5 min|5-15 min|15-60 min|9:30-11:00|11:00-16:00|Not by 16:00|")&lt;FIND("|"&amp;R61&amp;"|","|1-5 min|5-15 min|15-60 min|9:30-11:00|11:00-16:00|Not by 16:00|"),IF(E61="Up","High first (main side)",IF(E61="Down","High first (wick side)","High first")),IF(E61="Down","Low first (main side)",IF(E61="Up","Low first (wick side)","Low first"))))),"Check entries"))</f>
        <v/>
      </c>
      <c r="X61" s="28" t="n"/>
      <c r="Y61" s="27" t="n"/>
      <c r="Z61" s="27" t="n"/>
      <c r="AA61" s="27" t="n"/>
      <c r="AB61" s="27" t="n"/>
      <c r="AC61" s="27" t="n"/>
      <c r="AD61" s="27" t="n"/>
      <c r="AE61" s="28" t="n"/>
      <c r="AF61" s="30" t="n"/>
      <c r="AG61" s="27" t="n"/>
    </row>
    <row r="62">
      <c r="A62" s="25" t="n"/>
      <c r="B62" s="26">
        <f>IF(ISNUMBER(A62),TEXT(A62,"ddd"),"")</f>
        <v/>
      </c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8" t="n"/>
      <c r="M62" s="26">
        <f>IF(OR(L62="",AND(E62&lt;&gt;"Up",E62&lt;&gt;"Down")),"",IF(OR(L62="In line",L62="Mixed"),"Neutral data",IF(OR(AND(L62="Hotter",E62="Down"),AND(L62="Cooler",E62="Up")),"With data","Against data")))</f>
        <v/>
      </c>
      <c r="N62" s="28" t="n"/>
      <c r="O62" s="27" t="n"/>
      <c r="P62" s="27" t="n"/>
      <c r="Q62" s="28" t="n"/>
      <c r="R62" s="27" t="n"/>
      <c r="S62" s="29" t="n"/>
      <c r="T62" s="27" t="n"/>
      <c r="U62" s="27" t="n"/>
      <c r="V62" s="26">
        <f>IF(OR(AND(E62&lt;&gt;"Up",E62&lt;&gt;"Down"),NOT(ISNUMBER(S62)),IF(E62="Up",Q62,R62)=""),"",IF(S62&gt;=100,"Back to open",IF(OR(IF(E62="Up",Q62,R62)="1-5 min",IF(E62="Up",Q62,R62)="5-15 min"),"Continued",IF(S62&gt;=50,"Partial retrace","Stalled / chop"))))</f>
        <v/>
      </c>
      <c r="W62" s="26">
        <f>IF(OR(Q62="",R62=""),"",IFERROR(IF(AND(Q62="Not by 16:00",R62="Not by 16:00"),"Neither taken",IF(FIND("|"&amp;Q62&amp;"|","|1-5 min|5-15 min|15-60 min|9:30-11:00|11:00-16:00|Not by 16:00|")=FIND("|"&amp;R62&amp;"|","|1-5 min|5-15 min|15-60 min|9:30-11:00|11:00-16:00|Not by 16:00|"),"Same window",IF(FIND("|"&amp;Q62&amp;"|","|1-5 min|5-15 min|15-60 min|9:30-11:00|11:00-16:00|Not by 16:00|")&lt;FIND("|"&amp;R62&amp;"|","|1-5 min|5-15 min|15-60 min|9:30-11:00|11:00-16:00|Not by 16:00|"),IF(E62="Up","High first (main side)",IF(E62="Down","High first (wick side)","High first")),IF(E62="Down","Low first (main side)",IF(E62="Up","Low first (wick side)","Low first"))))),"Check entries"))</f>
        <v/>
      </c>
      <c r="X62" s="28" t="n"/>
      <c r="Y62" s="27" t="n"/>
      <c r="Z62" s="27" t="n"/>
      <c r="AA62" s="27" t="n"/>
      <c r="AB62" s="27" t="n"/>
      <c r="AC62" s="27" t="n"/>
      <c r="AD62" s="27" t="n"/>
      <c r="AE62" s="28" t="n"/>
      <c r="AF62" s="30" t="n"/>
      <c r="AG62" s="27" t="n"/>
    </row>
    <row r="63">
      <c r="A63" s="25" t="n"/>
      <c r="B63" s="26">
        <f>IF(ISNUMBER(A63),TEXT(A63,"ddd"),"")</f>
        <v/>
      </c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8" t="n"/>
      <c r="M63" s="26">
        <f>IF(OR(L63="",AND(E63&lt;&gt;"Up",E63&lt;&gt;"Down")),"",IF(OR(L63="In line",L63="Mixed"),"Neutral data",IF(OR(AND(L63="Hotter",E63="Down"),AND(L63="Cooler",E63="Up")),"With data","Against data")))</f>
        <v/>
      </c>
      <c r="N63" s="28" t="n"/>
      <c r="O63" s="27" t="n"/>
      <c r="P63" s="27" t="n"/>
      <c r="Q63" s="28" t="n"/>
      <c r="R63" s="27" t="n"/>
      <c r="S63" s="29" t="n"/>
      <c r="T63" s="27" t="n"/>
      <c r="U63" s="27" t="n"/>
      <c r="V63" s="26">
        <f>IF(OR(AND(E63&lt;&gt;"Up",E63&lt;&gt;"Down"),NOT(ISNUMBER(S63)),IF(E63="Up",Q63,R63)=""),"",IF(S63&gt;=100,"Back to open",IF(OR(IF(E63="Up",Q63,R63)="1-5 min",IF(E63="Up",Q63,R63)="5-15 min"),"Continued",IF(S63&gt;=50,"Partial retrace","Stalled / chop"))))</f>
        <v/>
      </c>
      <c r="W63" s="26">
        <f>IF(OR(Q63="",R63=""),"",IFERROR(IF(AND(Q63="Not by 16:00",R63="Not by 16:00"),"Neither taken",IF(FIND("|"&amp;Q63&amp;"|","|1-5 min|5-15 min|15-60 min|9:30-11:00|11:00-16:00|Not by 16:00|")=FIND("|"&amp;R63&amp;"|","|1-5 min|5-15 min|15-60 min|9:30-11:00|11:00-16:00|Not by 16:00|"),"Same window",IF(FIND("|"&amp;Q63&amp;"|","|1-5 min|5-15 min|15-60 min|9:30-11:00|11:00-16:00|Not by 16:00|")&lt;FIND("|"&amp;R63&amp;"|","|1-5 min|5-15 min|15-60 min|9:30-11:00|11:00-16:00|Not by 16:00|"),IF(E63="Up","High first (main side)",IF(E63="Down","High first (wick side)","High first")),IF(E63="Down","Low first (main side)",IF(E63="Up","Low first (wick side)","Low first"))))),"Check entries"))</f>
        <v/>
      </c>
      <c r="X63" s="28" t="n"/>
      <c r="Y63" s="27" t="n"/>
      <c r="Z63" s="27" t="n"/>
      <c r="AA63" s="27" t="n"/>
      <c r="AB63" s="27" t="n"/>
      <c r="AC63" s="27" t="n"/>
      <c r="AD63" s="27" t="n"/>
      <c r="AE63" s="28" t="n"/>
      <c r="AF63" s="30" t="n"/>
      <c r="AG63" s="27" t="n"/>
    </row>
    <row r="64">
      <c r="A64" s="25" t="n"/>
      <c r="B64" s="26">
        <f>IF(ISNUMBER(A64),TEXT(A64,"ddd"),"")</f>
        <v/>
      </c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8" t="n"/>
      <c r="M64" s="26">
        <f>IF(OR(L64="",AND(E64&lt;&gt;"Up",E64&lt;&gt;"Down")),"",IF(OR(L64="In line",L64="Mixed"),"Neutral data",IF(OR(AND(L64="Hotter",E64="Down"),AND(L64="Cooler",E64="Up")),"With data","Against data")))</f>
        <v/>
      </c>
      <c r="N64" s="28" t="n"/>
      <c r="O64" s="27" t="n"/>
      <c r="P64" s="27" t="n"/>
      <c r="Q64" s="28" t="n"/>
      <c r="R64" s="27" t="n"/>
      <c r="S64" s="29" t="n"/>
      <c r="T64" s="27" t="n"/>
      <c r="U64" s="27" t="n"/>
      <c r="V64" s="26">
        <f>IF(OR(AND(E64&lt;&gt;"Up",E64&lt;&gt;"Down"),NOT(ISNUMBER(S64)),IF(E64="Up",Q64,R64)=""),"",IF(S64&gt;=100,"Back to open",IF(OR(IF(E64="Up",Q64,R64)="1-5 min",IF(E64="Up",Q64,R64)="5-15 min"),"Continued",IF(S64&gt;=50,"Partial retrace","Stalled / chop"))))</f>
        <v/>
      </c>
      <c r="W64" s="26">
        <f>IF(OR(Q64="",R64=""),"",IFERROR(IF(AND(Q64="Not by 16:00",R64="Not by 16:00"),"Neither taken",IF(FIND("|"&amp;Q64&amp;"|","|1-5 min|5-15 min|15-60 min|9:30-11:00|11:00-16:00|Not by 16:00|")=FIND("|"&amp;R64&amp;"|","|1-5 min|5-15 min|15-60 min|9:30-11:00|11:00-16:00|Not by 16:00|"),"Same window",IF(FIND("|"&amp;Q64&amp;"|","|1-5 min|5-15 min|15-60 min|9:30-11:00|11:00-16:00|Not by 16:00|")&lt;FIND("|"&amp;R64&amp;"|","|1-5 min|5-15 min|15-60 min|9:30-11:00|11:00-16:00|Not by 16:00|"),IF(E64="Up","High first (main side)",IF(E64="Down","High first (wick side)","High first")),IF(E64="Down","Low first (main side)",IF(E64="Up","Low first (wick side)","Low first"))))),"Check entries"))</f>
        <v/>
      </c>
      <c r="X64" s="28" t="n"/>
      <c r="Y64" s="27" t="n"/>
      <c r="Z64" s="27" t="n"/>
      <c r="AA64" s="27" t="n"/>
      <c r="AB64" s="27" t="n"/>
      <c r="AC64" s="27" t="n"/>
      <c r="AD64" s="27" t="n"/>
      <c r="AE64" s="28" t="n"/>
      <c r="AF64" s="30" t="n"/>
      <c r="AG64" s="27" t="n"/>
    </row>
    <row r="65">
      <c r="A65" s="25" t="n"/>
      <c r="B65" s="26">
        <f>IF(ISNUMBER(A65),TEXT(A65,"ddd"),"")</f>
        <v/>
      </c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8" t="n"/>
      <c r="M65" s="26">
        <f>IF(OR(L65="",AND(E65&lt;&gt;"Up",E65&lt;&gt;"Down")),"",IF(OR(L65="In line",L65="Mixed"),"Neutral data",IF(OR(AND(L65="Hotter",E65="Down"),AND(L65="Cooler",E65="Up")),"With data","Against data")))</f>
        <v/>
      </c>
      <c r="N65" s="28" t="n"/>
      <c r="O65" s="27" t="n"/>
      <c r="P65" s="27" t="n"/>
      <c r="Q65" s="28" t="n"/>
      <c r="R65" s="27" t="n"/>
      <c r="S65" s="29" t="n"/>
      <c r="T65" s="27" t="n"/>
      <c r="U65" s="27" t="n"/>
      <c r="V65" s="26">
        <f>IF(OR(AND(E65&lt;&gt;"Up",E65&lt;&gt;"Down"),NOT(ISNUMBER(S65)),IF(E65="Up",Q65,R65)=""),"",IF(S65&gt;=100,"Back to open",IF(OR(IF(E65="Up",Q65,R65)="1-5 min",IF(E65="Up",Q65,R65)="5-15 min"),"Continued",IF(S65&gt;=50,"Partial retrace","Stalled / chop"))))</f>
        <v/>
      </c>
      <c r="W65" s="26">
        <f>IF(OR(Q65="",R65=""),"",IFERROR(IF(AND(Q65="Not by 16:00",R65="Not by 16:00"),"Neither taken",IF(FIND("|"&amp;Q65&amp;"|","|1-5 min|5-15 min|15-60 min|9:30-11:00|11:00-16:00|Not by 16:00|")=FIND("|"&amp;R65&amp;"|","|1-5 min|5-15 min|15-60 min|9:30-11:00|11:00-16:00|Not by 16:00|"),"Same window",IF(FIND("|"&amp;Q65&amp;"|","|1-5 min|5-15 min|15-60 min|9:30-11:00|11:00-16:00|Not by 16:00|")&lt;FIND("|"&amp;R65&amp;"|","|1-5 min|5-15 min|15-60 min|9:30-11:00|11:00-16:00|Not by 16:00|"),IF(E65="Up","High first (main side)",IF(E65="Down","High first (wick side)","High first")),IF(E65="Down","Low first (main side)",IF(E65="Up","Low first (wick side)","Low first"))))),"Check entries"))</f>
        <v/>
      </c>
      <c r="X65" s="28" t="n"/>
      <c r="Y65" s="27" t="n"/>
      <c r="Z65" s="27" t="n"/>
      <c r="AA65" s="27" t="n"/>
      <c r="AB65" s="27" t="n"/>
      <c r="AC65" s="27" t="n"/>
      <c r="AD65" s="27" t="n"/>
      <c r="AE65" s="28" t="n"/>
      <c r="AF65" s="30" t="n"/>
      <c r="AG65" s="27" t="n"/>
    </row>
    <row r="66">
      <c r="A66" s="25" t="n"/>
      <c r="B66" s="26">
        <f>IF(ISNUMBER(A66),TEXT(A66,"ddd"),"")</f>
        <v/>
      </c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8" t="n"/>
      <c r="M66" s="26">
        <f>IF(OR(L66="",AND(E66&lt;&gt;"Up",E66&lt;&gt;"Down")),"",IF(OR(L66="In line",L66="Mixed"),"Neutral data",IF(OR(AND(L66="Hotter",E66="Down"),AND(L66="Cooler",E66="Up")),"With data","Against data")))</f>
        <v/>
      </c>
      <c r="N66" s="28" t="n"/>
      <c r="O66" s="27" t="n"/>
      <c r="P66" s="27" t="n"/>
      <c r="Q66" s="28" t="n"/>
      <c r="R66" s="27" t="n"/>
      <c r="S66" s="29" t="n"/>
      <c r="T66" s="27" t="n"/>
      <c r="U66" s="27" t="n"/>
      <c r="V66" s="26">
        <f>IF(OR(AND(E66&lt;&gt;"Up",E66&lt;&gt;"Down"),NOT(ISNUMBER(S66)),IF(E66="Up",Q66,R66)=""),"",IF(S66&gt;=100,"Back to open",IF(OR(IF(E66="Up",Q66,R66)="1-5 min",IF(E66="Up",Q66,R66)="5-15 min"),"Continued",IF(S66&gt;=50,"Partial retrace","Stalled / chop"))))</f>
        <v/>
      </c>
      <c r="W66" s="26">
        <f>IF(OR(Q66="",R66=""),"",IFERROR(IF(AND(Q66="Not by 16:00",R66="Not by 16:00"),"Neither taken",IF(FIND("|"&amp;Q66&amp;"|","|1-5 min|5-15 min|15-60 min|9:30-11:00|11:00-16:00|Not by 16:00|")=FIND("|"&amp;R66&amp;"|","|1-5 min|5-15 min|15-60 min|9:30-11:00|11:00-16:00|Not by 16:00|"),"Same window",IF(FIND("|"&amp;Q66&amp;"|","|1-5 min|5-15 min|15-60 min|9:30-11:00|11:00-16:00|Not by 16:00|")&lt;FIND("|"&amp;R66&amp;"|","|1-5 min|5-15 min|15-60 min|9:30-11:00|11:00-16:00|Not by 16:00|"),IF(E66="Up","High first (main side)",IF(E66="Down","High first (wick side)","High first")),IF(E66="Down","Low first (main side)",IF(E66="Up","Low first (wick side)","Low first"))))),"Check entries"))</f>
        <v/>
      </c>
      <c r="X66" s="28" t="n"/>
      <c r="Y66" s="27" t="n"/>
      <c r="Z66" s="27" t="n"/>
      <c r="AA66" s="27" t="n"/>
      <c r="AB66" s="27" t="n"/>
      <c r="AC66" s="27" t="n"/>
      <c r="AD66" s="27" t="n"/>
      <c r="AE66" s="28" t="n"/>
      <c r="AF66" s="30" t="n"/>
      <c r="AG66" s="27" t="n"/>
    </row>
    <row r="67">
      <c r="A67" s="25" t="n"/>
      <c r="B67" s="26">
        <f>IF(ISNUMBER(A67),TEXT(A67,"ddd"),"")</f>
        <v/>
      </c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8" t="n"/>
      <c r="M67" s="26">
        <f>IF(OR(L67="",AND(E67&lt;&gt;"Up",E67&lt;&gt;"Down")),"",IF(OR(L67="In line",L67="Mixed"),"Neutral data",IF(OR(AND(L67="Hotter",E67="Down"),AND(L67="Cooler",E67="Up")),"With data","Against data")))</f>
        <v/>
      </c>
      <c r="N67" s="28" t="n"/>
      <c r="O67" s="27" t="n"/>
      <c r="P67" s="27" t="n"/>
      <c r="Q67" s="28" t="n"/>
      <c r="R67" s="27" t="n"/>
      <c r="S67" s="29" t="n"/>
      <c r="T67" s="27" t="n"/>
      <c r="U67" s="27" t="n"/>
      <c r="V67" s="26">
        <f>IF(OR(AND(E67&lt;&gt;"Up",E67&lt;&gt;"Down"),NOT(ISNUMBER(S67)),IF(E67="Up",Q67,R67)=""),"",IF(S67&gt;=100,"Back to open",IF(OR(IF(E67="Up",Q67,R67)="1-5 min",IF(E67="Up",Q67,R67)="5-15 min"),"Continued",IF(S67&gt;=50,"Partial retrace","Stalled / chop"))))</f>
        <v/>
      </c>
      <c r="W67" s="26">
        <f>IF(OR(Q67="",R67=""),"",IFERROR(IF(AND(Q67="Not by 16:00",R67="Not by 16:00"),"Neither taken",IF(FIND("|"&amp;Q67&amp;"|","|1-5 min|5-15 min|15-60 min|9:30-11:00|11:00-16:00|Not by 16:00|")=FIND("|"&amp;R67&amp;"|","|1-5 min|5-15 min|15-60 min|9:30-11:00|11:00-16:00|Not by 16:00|"),"Same window",IF(FIND("|"&amp;Q67&amp;"|","|1-5 min|5-15 min|15-60 min|9:30-11:00|11:00-16:00|Not by 16:00|")&lt;FIND("|"&amp;R67&amp;"|","|1-5 min|5-15 min|15-60 min|9:30-11:00|11:00-16:00|Not by 16:00|"),IF(E67="Up","High first (main side)",IF(E67="Down","High first (wick side)","High first")),IF(E67="Down","Low first (main side)",IF(E67="Up","Low first (wick side)","Low first"))))),"Check entries"))</f>
        <v/>
      </c>
      <c r="X67" s="28" t="n"/>
      <c r="Y67" s="27" t="n"/>
      <c r="Z67" s="27" t="n"/>
      <c r="AA67" s="27" t="n"/>
      <c r="AB67" s="27" t="n"/>
      <c r="AC67" s="27" t="n"/>
      <c r="AD67" s="27" t="n"/>
      <c r="AE67" s="28" t="n"/>
      <c r="AF67" s="30" t="n"/>
      <c r="AG67" s="27" t="n"/>
    </row>
    <row r="68">
      <c r="A68" s="25" t="n"/>
      <c r="B68" s="26">
        <f>IF(ISNUMBER(A68),TEXT(A68,"ddd"),"")</f>
        <v/>
      </c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8" t="n"/>
      <c r="M68" s="26">
        <f>IF(OR(L68="",AND(E68&lt;&gt;"Up",E68&lt;&gt;"Down")),"",IF(OR(L68="In line",L68="Mixed"),"Neutral data",IF(OR(AND(L68="Hotter",E68="Down"),AND(L68="Cooler",E68="Up")),"With data","Against data")))</f>
        <v/>
      </c>
      <c r="N68" s="28" t="n"/>
      <c r="O68" s="27" t="n"/>
      <c r="P68" s="27" t="n"/>
      <c r="Q68" s="28" t="n"/>
      <c r="R68" s="27" t="n"/>
      <c r="S68" s="29" t="n"/>
      <c r="T68" s="27" t="n"/>
      <c r="U68" s="27" t="n"/>
      <c r="V68" s="26">
        <f>IF(OR(AND(E68&lt;&gt;"Up",E68&lt;&gt;"Down"),NOT(ISNUMBER(S68)),IF(E68="Up",Q68,R68)=""),"",IF(S68&gt;=100,"Back to open",IF(OR(IF(E68="Up",Q68,R68)="1-5 min",IF(E68="Up",Q68,R68)="5-15 min"),"Continued",IF(S68&gt;=50,"Partial retrace","Stalled / chop"))))</f>
        <v/>
      </c>
      <c r="W68" s="26">
        <f>IF(OR(Q68="",R68=""),"",IFERROR(IF(AND(Q68="Not by 16:00",R68="Not by 16:00"),"Neither taken",IF(FIND("|"&amp;Q68&amp;"|","|1-5 min|5-15 min|15-60 min|9:30-11:00|11:00-16:00|Not by 16:00|")=FIND("|"&amp;R68&amp;"|","|1-5 min|5-15 min|15-60 min|9:30-11:00|11:00-16:00|Not by 16:00|"),"Same window",IF(FIND("|"&amp;Q68&amp;"|","|1-5 min|5-15 min|15-60 min|9:30-11:00|11:00-16:00|Not by 16:00|")&lt;FIND("|"&amp;R68&amp;"|","|1-5 min|5-15 min|15-60 min|9:30-11:00|11:00-16:00|Not by 16:00|"),IF(E68="Up","High first (main side)",IF(E68="Down","High first (wick side)","High first")),IF(E68="Down","Low first (main side)",IF(E68="Up","Low first (wick side)","Low first"))))),"Check entries"))</f>
        <v/>
      </c>
      <c r="X68" s="28" t="n"/>
      <c r="Y68" s="27" t="n"/>
      <c r="Z68" s="27" t="n"/>
      <c r="AA68" s="27" t="n"/>
      <c r="AB68" s="27" t="n"/>
      <c r="AC68" s="27" t="n"/>
      <c r="AD68" s="27" t="n"/>
      <c r="AE68" s="28" t="n"/>
      <c r="AF68" s="30" t="n"/>
      <c r="AG68" s="27" t="n"/>
    </row>
    <row r="69">
      <c r="A69" s="25" t="n"/>
      <c r="B69" s="26">
        <f>IF(ISNUMBER(A69),TEXT(A69,"ddd"),"")</f>
        <v/>
      </c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8" t="n"/>
      <c r="M69" s="26">
        <f>IF(OR(L69="",AND(E69&lt;&gt;"Up",E69&lt;&gt;"Down")),"",IF(OR(L69="In line",L69="Mixed"),"Neutral data",IF(OR(AND(L69="Hotter",E69="Down"),AND(L69="Cooler",E69="Up")),"With data","Against data")))</f>
        <v/>
      </c>
      <c r="N69" s="28" t="n"/>
      <c r="O69" s="27" t="n"/>
      <c r="P69" s="27" t="n"/>
      <c r="Q69" s="28" t="n"/>
      <c r="R69" s="27" t="n"/>
      <c r="S69" s="29" t="n"/>
      <c r="T69" s="27" t="n"/>
      <c r="U69" s="27" t="n"/>
      <c r="V69" s="26">
        <f>IF(OR(AND(E69&lt;&gt;"Up",E69&lt;&gt;"Down"),NOT(ISNUMBER(S69)),IF(E69="Up",Q69,R69)=""),"",IF(S69&gt;=100,"Back to open",IF(OR(IF(E69="Up",Q69,R69)="1-5 min",IF(E69="Up",Q69,R69)="5-15 min"),"Continued",IF(S69&gt;=50,"Partial retrace","Stalled / chop"))))</f>
        <v/>
      </c>
      <c r="W69" s="26">
        <f>IF(OR(Q69="",R69=""),"",IFERROR(IF(AND(Q69="Not by 16:00",R69="Not by 16:00"),"Neither taken",IF(FIND("|"&amp;Q69&amp;"|","|1-5 min|5-15 min|15-60 min|9:30-11:00|11:00-16:00|Not by 16:00|")=FIND("|"&amp;R69&amp;"|","|1-5 min|5-15 min|15-60 min|9:30-11:00|11:00-16:00|Not by 16:00|"),"Same window",IF(FIND("|"&amp;Q69&amp;"|","|1-5 min|5-15 min|15-60 min|9:30-11:00|11:00-16:00|Not by 16:00|")&lt;FIND("|"&amp;R69&amp;"|","|1-5 min|5-15 min|15-60 min|9:30-11:00|11:00-16:00|Not by 16:00|"),IF(E69="Up","High first (main side)",IF(E69="Down","High first (wick side)","High first")),IF(E69="Down","Low first (main side)",IF(E69="Up","Low first (wick side)","Low first"))))),"Check entries"))</f>
        <v/>
      </c>
      <c r="X69" s="28" t="n"/>
      <c r="Y69" s="27" t="n"/>
      <c r="Z69" s="27" t="n"/>
      <c r="AA69" s="27" t="n"/>
      <c r="AB69" s="27" t="n"/>
      <c r="AC69" s="27" t="n"/>
      <c r="AD69" s="27" t="n"/>
      <c r="AE69" s="28" t="n"/>
      <c r="AF69" s="30" t="n"/>
      <c r="AG69" s="27" t="n"/>
    </row>
    <row r="70">
      <c r="A70" s="25" t="n"/>
      <c r="B70" s="26">
        <f>IF(ISNUMBER(A70),TEXT(A70,"ddd"),"")</f>
        <v/>
      </c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8" t="n"/>
      <c r="M70" s="26">
        <f>IF(OR(L70="",AND(E70&lt;&gt;"Up",E70&lt;&gt;"Down")),"",IF(OR(L70="In line",L70="Mixed"),"Neutral data",IF(OR(AND(L70="Hotter",E70="Down"),AND(L70="Cooler",E70="Up")),"With data","Against data")))</f>
        <v/>
      </c>
      <c r="N70" s="28" t="n"/>
      <c r="O70" s="27" t="n"/>
      <c r="P70" s="27" t="n"/>
      <c r="Q70" s="28" t="n"/>
      <c r="R70" s="27" t="n"/>
      <c r="S70" s="29" t="n"/>
      <c r="T70" s="27" t="n"/>
      <c r="U70" s="27" t="n"/>
      <c r="V70" s="26">
        <f>IF(OR(AND(E70&lt;&gt;"Up",E70&lt;&gt;"Down"),NOT(ISNUMBER(S70)),IF(E70="Up",Q70,R70)=""),"",IF(S70&gt;=100,"Back to open",IF(OR(IF(E70="Up",Q70,R70)="1-5 min",IF(E70="Up",Q70,R70)="5-15 min"),"Continued",IF(S70&gt;=50,"Partial retrace","Stalled / chop"))))</f>
        <v/>
      </c>
      <c r="W70" s="26">
        <f>IF(OR(Q70="",R70=""),"",IFERROR(IF(AND(Q70="Not by 16:00",R70="Not by 16:00"),"Neither taken",IF(FIND("|"&amp;Q70&amp;"|","|1-5 min|5-15 min|15-60 min|9:30-11:00|11:00-16:00|Not by 16:00|")=FIND("|"&amp;R70&amp;"|","|1-5 min|5-15 min|15-60 min|9:30-11:00|11:00-16:00|Not by 16:00|"),"Same window",IF(FIND("|"&amp;Q70&amp;"|","|1-5 min|5-15 min|15-60 min|9:30-11:00|11:00-16:00|Not by 16:00|")&lt;FIND("|"&amp;R70&amp;"|","|1-5 min|5-15 min|15-60 min|9:30-11:00|11:00-16:00|Not by 16:00|"),IF(E70="Up","High first (main side)",IF(E70="Down","High first (wick side)","High first")),IF(E70="Down","Low first (main side)",IF(E70="Up","Low first (wick side)","Low first"))))),"Check entries"))</f>
        <v/>
      </c>
      <c r="X70" s="28" t="n"/>
      <c r="Y70" s="27" t="n"/>
      <c r="Z70" s="27" t="n"/>
      <c r="AA70" s="27" t="n"/>
      <c r="AB70" s="27" t="n"/>
      <c r="AC70" s="27" t="n"/>
      <c r="AD70" s="27" t="n"/>
      <c r="AE70" s="28" t="n"/>
      <c r="AF70" s="30" t="n"/>
      <c r="AG70" s="27" t="n"/>
    </row>
    <row r="71">
      <c r="A71" s="25" t="n"/>
      <c r="B71" s="26">
        <f>IF(ISNUMBER(A71),TEXT(A71,"ddd"),"")</f>
        <v/>
      </c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8" t="n"/>
      <c r="M71" s="26">
        <f>IF(OR(L71="",AND(E71&lt;&gt;"Up",E71&lt;&gt;"Down")),"",IF(OR(L71="In line",L71="Mixed"),"Neutral data",IF(OR(AND(L71="Hotter",E71="Down"),AND(L71="Cooler",E71="Up")),"With data","Against data")))</f>
        <v/>
      </c>
      <c r="N71" s="28" t="n"/>
      <c r="O71" s="27" t="n"/>
      <c r="P71" s="27" t="n"/>
      <c r="Q71" s="28" t="n"/>
      <c r="R71" s="27" t="n"/>
      <c r="S71" s="29" t="n"/>
      <c r="T71" s="27" t="n"/>
      <c r="U71" s="27" t="n"/>
      <c r="V71" s="26">
        <f>IF(OR(AND(E71&lt;&gt;"Up",E71&lt;&gt;"Down"),NOT(ISNUMBER(S71)),IF(E71="Up",Q71,R71)=""),"",IF(S71&gt;=100,"Back to open",IF(OR(IF(E71="Up",Q71,R71)="1-5 min",IF(E71="Up",Q71,R71)="5-15 min"),"Continued",IF(S71&gt;=50,"Partial retrace","Stalled / chop"))))</f>
        <v/>
      </c>
      <c r="W71" s="26">
        <f>IF(OR(Q71="",R71=""),"",IFERROR(IF(AND(Q71="Not by 16:00",R71="Not by 16:00"),"Neither taken",IF(FIND("|"&amp;Q71&amp;"|","|1-5 min|5-15 min|15-60 min|9:30-11:00|11:00-16:00|Not by 16:00|")=FIND("|"&amp;R71&amp;"|","|1-5 min|5-15 min|15-60 min|9:30-11:00|11:00-16:00|Not by 16:00|"),"Same window",IF(FIND("|"&amp;Q71&amp;"|","|1-5 min|5-15 min|15-60 min|9:30-11:00|11:00-16:00|Not by 16:00|")&lt;FIND("|"&amp;R71&amp;"|","|1-5 min|5-15 min|15-60 min|9:30-11:00|11:00-16:00|Not by 16:00|"),IF(E71="Up","High first (main side)",IF(E71="Down","High first (wick side)","High first")),IF(E71="Down","Low first (main side)",IF(E71="Up","Low first (wick side)","Low first"))))),"Check entries"))</f>
        <v/>
      </c>
      <c r="X71" s="28" t="n"/>
      <c r="Y71" s="27" t="n"/>
      <c r="Z71" s="27" t="n"/>
      <c r="AA71" s="27" t="n"/>
      <c r="AB71" s="27" t="n"/>
      <c r="AC71" s="27" t="n"/>
      <c r="AD71" s="27" t="n"/>
      <c r="AE71" s="28" t="n"/>
      <c r="AF71" s="30" t="n"/>
      <c r="AG71" s="27" t="n"/>
    </row>
    <row r="72">
      <c r="A72" s="25" t="n"/>
      <c r="B72" s="26">
        <f>IF(ISNUMBER(A72),TEXT(A72,"ddd"),"")</f>
        <v/>
      </c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8" t="n"/>
      <c r="M72" s="26">
        <f>IF(OR(L72="",AND(E72&lt;&gt;"Up",E72&lt;&gt;"Down")),"",IF(OR(L72="In line",L72="Mixed"),"Neutral data",IF(OR(AND(L72="Hotter",E72="Down"),AND(L72="Cooler",E72="Up")),"With data","Against data")))</f>
        <v/>
      </c>
      <c r="N72" s="28" t="n"/>
      <c r="O72" s="27" t="n"/>
      <c r="P72" s="27" t="n"/>
      <c r="Q72" s="28" t="n"/>
      <c r="R72" s="27" t="n"/>
      <c r="S72" s="29" t="n"/>
      <c r="T72" s="27" t="n"/>
      <c r="U72" s="27" t="n"/>
      <c r="V72" s="26">
        <f>IF(OR(AND(E72&lt;&gt;"Up",E72&lt;&gt;"Down"),NOT(ISNUMBER(S72)),IF(E72="Up",Q72,R72)=""),"",IF(S72&gt;=100,"Back to open",IF(OR(IF(E72="Up",Q72,R72)="1-5 min",IF(E72="Up",Q72,R72)="5-15 min"),"Continued",IF(S72&gt;=50,"Partial retrace","Stalled / chop"))))</f>
        <v/>
      </c>
      <c r="W72" s="26">
        <f>IF(OR(Q72="",R72=""),"",IFERROR(IF(AND(Q72="Not by 16:00",R72="Not by 16:00"),"Neither taken",IF(FIND("|"&amp;Q72&amp;"|","|1-5 min|5-15 min|15-60 min|9:30-11:00|11:00-16:00|Not by 16:00|")=FIND("|"&amp;R72&amp;"|","|1-5 min|5-15 min|15-60 min|9:30-11:00|11:00-16:00|Not by 16:00|"),"Same window",IF(FIND("|"&amp;Q72&amp;"|","|1-5 min|5-15 min|15-60 min|9:30-11:00|11:00-16:00|Not by 16:00|")&lt;FIND("|"&amp;R72&amp;"|","|1-5 min|5-15 min|15-60 min|9:30-11:00|11:00-16:00|Not by 16:00|"),IF(E72="Up","High first (main side)",IF(E72="Down","High first (wick side)","High first")),IF(E72="Down","Low first (main side)",IF(E72="Up","Low first (wick side)","Low first"))))),"Check entries"))</f>
        <v/>
      </c>
      <c r="X72" s="28" t="n"/>
      <c r="Y72" s="27" t="n"/>
      <c r="Z72" s="27" t="n"/>
      <c r="AA72" s="27" t="n"/>
      <c r="AB72" s="27" t="n"/>
      <c r="AC72" s="27" t="n"/>
      <c r="AD72" s="27" t="n"/>
      <c r="AE72" s="28" t="n"/>
      <c r="AF72" s="30" t="n"/>
      <c r="AG72" s="27" t="n"/>
    </row>
    <row r="73">
      <c r="A73" s="25" t="n"/>
      <c r="B73" s="26">
        <f>IF(ISNUMBER(A73),TEXT(A73,"ddd"),"")</f>
        <v/>
      </c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8" t="n"/>
      <c r="M73" s="26">
        <f>IF(OR(L73="",AND(E73&lt;&gt;"Up",E73&lt;&gt;"Down")),"",IF(OR(L73="In line",L73="Mixed"),"Neutral data",IF(OR(AND(L73="Hotter",E73="Down"),AND(L73="Cooler",E73="Up")),"With data","Against data")))</f>
        <v/>
      </c>
      <c r="N73" s="28" t="n"/>
      <c r="O73" s="27" t="n"/>
      <c r="P73" s="27" t="n"/>
      <c r="Q73" s="28" t="n"/>
      <c r="R73" s="27" t="n"/>
      <c r="S73" s="29" t="n"/>
      <c r="T73" s="27" t="n"/>
      <c r="U73" s="27" t="n"/>
      <c r="V73" s="26">
        <f>IF(OR(AND(E73&lt;&gt;"Up",E73&lt;&gt;"Down"),NOT(ISNUMBER(S73)),IF(E73="Up",Q73,R73)=""),"",IF(S73&gt;=100,"Back to open",IF(OR(IF(E73="Up",Q73,R73)="1-5 min",IF(E73="Up",Q73,R73)="5-15 min"),"Continued",IF(S73&gt;=50,"Partial retrace","Stalled / chop"))))</f>
        <v/>
      </c>
      <c r="W73" s="26">
        <f>IF(OR(Q73="",R73=""),"",IFERROR(IF(AND(Q73="Not by 16:00",R73="Not by 16:00"),"Neither taken",IF(FIND("|"&amp;Q73&amp;"|","|1-5 min|5-15 min|15-60 min|9:30-11:00|11:00-16:00|Not by 16:00|")=FIND("|"&amp;R73&amp;"|","|1-5 min|5-15 min|15-60 min|9:30-11:00|11:00-16:00|Not by 16:00|"),"Same window",IF(FIND("|"&amp;Q73&amp;"|","|1-5 min|5-15 min|15-60 min|9:30-11:00|11:00-16:00|Not by 16:00|")&lt;FIND("|"&amp;R73&amp;"|","|1-5 min|5-15 min|15-60 min|9:30-11:00|11:00-16:00|Not by 16:00|"),IF(E73="Up","High first (main side)",IF(E73="Down","High first (wick side)","High first")),IF(E73="Down","Low first (main side)",IF(E73="Up","Low first (wick side)","Low first"))))),"Check entries"))</f>
        <v/>
      </c>
      <c r="X73" s="28" t="n"/>
      <c r="Y73" s="27" t="n"/>
      <c r="Z73" s="27" t="n"/>
      <c r="AA73" s="27" t="n"/>
      <c r="AB73" s="27" t="n"/>
      <c r="AC73" s="27" t="n"/>
      <c r="AD73" s="27" t="n"/>
      <c r="AE73" s="28" t="n"/>
      <c r="AF73" s="30" t="n"/>
      <c r="AG73" s="27" t="n"/>
    </row>
    <row r="74">
      <c r="A74" s="25" t="n"/>
      <c r="B74" s="26">
        <f>IF(ISNUMBER(A74),TEXT(A74,"ddd"),"")</f>
        <v/>
      </c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8" t="n"/>
      <c r="M74" s="26">
        <f>IF(OR(L74="",AND(E74&lt;&gt;"Up",E74&lt;&gt;"Down")),"",IF(OR(L74="In line",L74="Mixed"),"Neutral data",IF(OR(AND(L74="Hotter",E74="Down"),AND(L74="Cooler",E74="Up")),"With data","Against data")))</f>
        <v/>
      </c>
      <c r="N74" s="28" t="n"/>
      <c r="O74" s="27" t="n"/>
      <c r="P74" s="27" t="n"/>
      <c r="Q74" s="28" t="n"/>
      <c r="R74" s="27" t="n"/>
      <c r="S74" s="29" t="n"/>
      <c r="T74" s="27" t="n"/>
      <c r="U74" s="27" t="n"/>
      <c r="V74" s="26">
        <f>IF(OR(AND(E74&lt;&gt;"Up",E74&lt;&gt;"Down"),NOT(ISNUMBER(S74)),IF(E74="Up",Q74,R74)=""),"",IF(S74&gt;=100,"Back to open",IF(OR(IF(E74="Up",Q74,R74)="1-5 min",IF(E74="Up",Q74,R74)="5-15 min"),"Continued",IF(S74&gt;=50,"Partial retrace","Stalled / chop"))))</f>
        <v/>
      </c>
      <c r="W74" s="26">
        <f>IF(OR(Q74="",R74=""),"",IFERROR(IF(AND(Q74="Not by 16:00",R74="Not by 16:00"),"Neither taken",IF(FIND("|"&amp;Q74&amp;"|","|1-5 min|5-15 min|15-60 min|9:30-11:00|11:00-16:00|Not by 16:00|")=FIND("|"&amp;R74&amp;"|","|1-5 min|5-15 min|15-60 min|9:30-11:00|11:00-16:00|Not by 16:00|"),"Same window",IF(FIND("|"&amp;Q74&amp;"|","|1-5 min|5-15 min|15-60 min|9:30-11:00|11:00-16:00|Not by 16:00|")&lt;FIND("|"&amp;R74&amp;"|","|1-5 min|5-15 min|15-60 min|9:30-11:00|11:00-16:00|Not by 16:00|"),IF(E74="Up","High first (main side)",IF(E74="Down","High first (wick side)","High first")),IF(E74="Down","Low first (main side)",IF(E74="Up","Low first (wick side)","Low first"))))),"Check entries"))</f>
        <v/>
      </c>
      <c r="X74" s="28" t="n"/>
      <c r="Y74" s="27" t="n"/>
      <c r="Z74" s="27" t="n"/>
      <c r="AA74" s="27" t="n"/>
      <c r="AB74" s="27" t="n"/>
      <c r="AC74" s="27" t="n"/>
      <c r="AD74" s="27" t="n"/>
      <c r="AE74" s="28" t="n"/>
      <c r="AF74" s="30" t="n"/>
      <c r="AG74" s="27" t="n"/>
    </row>
    <row r="75">
      <c r="A75" s="25" t="n"/>
      <c r="B75" s="26">
        <f>IF(ISNUMBER(A75),TEXT(A75,"ddd"),"")</f>
        <v/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8" t="n"/>
      <c r="M75" s="26">
        <f>IF(OR(L75="",AND(E75&lt;&gt;"Up",E75&lt;&gt;"Down")),"",IF(OR(L75="In line",L75="Mixed"),"Neutral data",IF(OR(AND(L75="Hotter",E75="Down"),AND(L75="Cooler",E75="Up")),"With data","Against data")))</f>
        <v/>
      </c>
      <c r="N75" s="28" t="n"/>
      <c r="O75" s="27" t="n"/>
      <c r="P75" s="27" t="n"/>
      <c r="Q75" s="28" t="n"/>
      <c r="R75" s="27" t="n"/>
      <c r="S75" s="29" t="n"/>
      <c r="T75" s="27" t="n"/>
      <c r="U75" s="27" t="n"/>
      <c r="V75" s="26">
        <f>IF(OR(AND(E75&lt;&gt;"Up",E75&lt;&gt;"Down"),NOT(ISNUMBER(S75)),IF(E75="Up",Q75,R75)=""),"",IF(S75&gt;=100,"Back to open",IF(OR(IF(E75="Up",Q75,R75)="1-5 min",IF(E75="Up",Q75,R75)="5-15 min"),"Continued",IF(S75&gt;=50,"Partial retrace","Stalled / chop"))))</f>
        <v/>
      </c>
      <c r="W75" s="26">
        <f>IF(OR(Q75="",R75=""),"",IFERROR(IF(AND(Q75="Not by 16:00",R75="Not by 16:00"),"Neither taken",IF(FIND("|"&amp;Q75&amp;"|","|1-5 min|5-15 min|15-60 min|9:30-11:00|11:00-16:00|Not by 16:00|")=FIND("|"&amp;R75&amp;"|","|1-5 min|5-15 min|15-60 min|9:30-11:00|11:00-16:00|Not by 16:00|"),"Same window",IF(FIND("|"&amp;Q75&amp;"|","|1-5 min|5-15 min|15-60 min|9:30-11:00|11:00-16:00|Not by 16:00|")&lt;FIND("|"&amp;R75&amp;"|","|1-5 min|5-15 min|15-60 min|9:30-11:00|11:00-16:00|Not by 16:00|"),IF(E75="Up","High first (main side)",IF(E75="Down","High first (wick side)","High first")),IF(E75="Down","Low first (main side)",IF(E75="Up","Low first (wick side)","Low first"))))),"Check entries"))</f>
        <v/>
      </c>
      <c r="X75" s="28" t="n"/>
      <c r="Y75" s="27" t="n"/>
      <c r="Z75" s="27" t="n"/>
      <c r="AA75" s="27" t="n"/>
      <c r="AB75" s="27" t="n"/>
      <c r="AC75" s="27" t="n"/>
      <c r="AD75" s="27" t="n"/>
      <c r="AE75" s="28" t="n"/>
      <c r="AF75" s="30" t="n"/>
      <c r="AG75" s="27" t="n"/>
    </row>
    <row r="76">
      <c r="A76" s="25" t="n"/>
      <c r="B76" s="26">
        <f>IF(ISNUMBER(A76),TEXT(A76,"ddd"),"")</f>
        <v/>
      </c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8" t="n"/>
      <c r="M76" s="26">
        <f>IF(OR(L76="",AND(E76&lt;&gt;"Up",E76&lt;&gt;"Down")),"",IF(OR(L76="In line",L76="Mixed"),"Neutral data",IF(OR(AND(L76="Hotter",E76="Down"),AND(L76="Cooler",E76="Up")),"With data","Against data")))</f>
        <v/>
      </c>
      <c r="N76" s="28" t="n"/>
      <c r="O76" s="27" t="n"/>
      <c r="P76" s="27" t="n"/>
      <c r="Q76" s="28" t="n"/>
      <c r="R76" s="27" t="n"/>
      <c r="S76" s="29" t="n"/>
      <c r="T76" s="27" t="n"/>
      <c r="U76" s="27" t="n"/>
      <c r="V76" s="26">
        <f>IF(OR(AND(E76&lt;&gt;"Up",E76&lt;&gt;"Down"),NOT(ISNUMBER(S76)),IF(E76="Up",Q76,R76)=""),"",IF(S76&gt;=100,"Back to open",IF(OR(IF(E76="Up",Q76,R76)="1-5 min",IF(E76="Up",Q76,R76)="5-15 min"),"Continued",IF(S76&gt;=50,"Partial retrace","Stalled / chop"))))</f>
        <v/>
      </c>
      <c r="W76" s="26">
        <f>IF(OR(Q76="",R76=""),"",IFERROR(IF(AND(Q76="Not by 16:00",R76="Not by 16:00"),"Neither taken",IF(FIND("|"&amp;Q76&amp;"|","|1-5 min|5-15 min|15-60 min|9:30-11:00|11:00-16:00|Not by 16:00|")=FIND("|"&amp;R76&amp;"|","|1-5 min|5-15 min|15-60 min|9:30-11:00|11:00-16:00|Not by 16:00|"),"Same window",IF(FIND("|"&amp;Q76&amp;"|","|1-5 min|5-15 min|15-60 min|9:30-11:00|11:00-16:00|Not by 16:00|")&lt;FIND("|"&amp;R76&amp;"|","|1-5 min|5-15 min|15-60 min|9:30-11:00|11:00-16:00|Not by 16:00|"),IF(E76="Up","High first (main side)",IF(E76="Down","High first (wick side)","High first")),IF(E76="Down","Low first (main side)",IF(E76="Up","Low first (wick side)","Low first"))))),"Check entries"))</f>
        <v/>
      </c>
      <c r="X76" s="28" t="n"/>
      <c r="Y76" s="27" t="n"/>
      <c r="Z76" s="27" t="n"/>
      <c r="AA76" s="27" t="n"/>
      <c r="AB76" s="27" t="n"/>
      <c r="AC76" s="27" t="n"/>
      <c r="AD76" s="27" t="n"/>
      <c r="AE76" s="28" t="n"/>
      <c r="AF76" s="30" t="n"/>
      <c r="AG76" s="27" t="n"/>
    </row>
    <row r="77">
      <c r="A77" s="25" t="n"/>
      <c r="B77" s="26">
        <f>IF(ISNUMBER(A77),TEXT(A77,"ddd"),"")</f>
        <v/>
      </c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8" t="n"/>
      <c r="M77" s="26">
        <f>IF(OR(L77="",AND(E77&lt;&gt;"Up",E77&lt;&gt;"Down")),"",IF(OR(L77="In line",L77="Mixed"),"Neutral data",IF(OR(AND(L77="Hotter",E77="Down"),AND(L77="Cooler",E77="Up")),"With data","Against data")))</f>
        <v/>
      </c>
      <c r="N77" s="28" t="n"/>
      <c r="O77" s="27" t="n"/>
      <c r="P77" s="27" t="n"/>
      <c r="Q77" s="28" t="n"/>
      <c r="R77" s="27" t="n"/>
      <c r="S77" s="29" t="n"/>
      <c r="T77" s="27" t="n"/>
      <c r="U77" s="27" t="n"/>
      <c r="V77" s="26">
        <f>IF(OR(AND(E77&lt;&gt;"Up",E77&lt;&gt;"Down"),NOT(ISNUMBER(S77)),IF(E77="Up",Q77,R77)=""),"",IF(S77&gt;=100,"Back to open",IF(OR(IF(E77="Up",Q77,R77)="1-5 min",IF(E77="Up",Q77,R77)="5-15 min"),"Continued",IF(S77&gt;=50,"Partial retrace","Stalled / chop"))))</f>
        <v/>
      </c>
      <c r="W77" s="26">
        <f>IF(OR(Q77="",R77=""),"",IFERROR(IF(AND(Q77="Not by 16:00",R77="Not by 16:00"),"Neither taken",IF(FIND("|"&amp;Q77&amp;"|","|1-5 min|5-15 min|15-60 min|9:30-11:00|11:00-16:00|Not by 16:00|")=FIND("|"&amp;R77&amp;"|","|1-5 min|5-15 min|15-60 min|9:30-11:00|11:00-16:00|Not by 16:00|"),"Same window",IF(FIND("|"&amp;Q77&amp;"|","|1-5 min|5-15 min|15-60 min|9:30-11:00|11:00-16:00|Not by 16:00|")&lt;FIND("|"&amp;R77&amp;"|","|1-5 min|5-15 min|15-60 min|9:30-11:00|11:00-16:00|Not by 16:00|"),IF(E77="Up","High first (main side)",IF(E77="Down","High first (wick side)","High first")),IF(E77="Down","Low first (main side)",IF(E77="Up","Low first (wick side)","Low first"))))),"Check entries"))</f>
        <v/>
      </c>
      <c r="X77" s="28" t="n"/>
      <c r="Y77" s="27" t="n"/>
      <c r="Z77" s="27" t="n"/>
      <c r="AA77" s="27" t="n"/>
      <c r="AB77" s="27" t="n"/>
      <c r="AC77" s="27" t="n"/>
      <c r="AD77" s="27" t="n"/>
      <c r="AE77" s="28" t="n"/>
      <c r="AF77" s="30" t="n"/>
      <c r="AG77" s="27" t="n"/>
    </row>
    <row r="78">
      <c r="A78" s="25" t="n"/>
      <c r="B78" s="26">
        <f>IF(ISNUMBER(A78),TEXT(A78,"ddd"),"")</f>
        <v/>
      </c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8" t="n"/>
      <c r="M78" s="26">
        <f>IF(OR(L78="",AND(E78&lt;&gt;"Up",E78&lt;&gt;"Down")),"",IF(OR(L78="In line",L78="Mixed"),"Neutral data",IF(OR(AND(L78="Hotter",E78="Down"),AND(L78="Cooler",E78="Up")),"With data","Against data")))</f>
        <v/>
      </c>
      <c r="N78" s="28" t="n"/>
      <c r="O78" s="27" t="n"/>
      <c r="P78" s="27" t="n"/>
      <c r="Q78" s="28" t="n"/>
      <c r="R78" s="27" t="n"/>
      <c r="S78" s="29" t="n"/>
      <c r="T78" s="27" t="n"/>
      <c r="U78" s="27" t="n"/>
      <c r="V78" s="26">
        <f>IF(OR(AND(E78&lt;&gt;"Up",E78&lt;&gt;"Down"),NOT(ISNUMBER(S78)),IF(E78="Up",Q78,R78)=""),"",IF(S78&gt;=100,"Back to open",IF(OR(IF(E78="Up",Q78,R78)="1-5 min",IF(E78="Up",Q78,R78)="5-15 min"),"Continued",IF(S78&gt;=50,"Partial retrace","Stalled / chop"))))</f>
        <v/>
      </c>
      <c r="W78" s="26">
        <f>IF(OR(Q78="",R78=""),"",IFERROR(IF(AND(Q78="Not by 16:00",R78="Not by 16:00"),"Neither taken",IF(FIND("|"&amp;Q78&amp;"|","|1-5 min|5-15 min|15-60 min|9:30-11:00|11:00-16:00|Not by 16:00|")=FIND("|"&amp;R78&amp;"|","|1-5 min|5-15 min|15-60 min|9:30-11:00|11:00-16:00|Not by 16:00|"),"Same window",IF(FIND("|"&amp;Q78&amp;"|","|1-5 min|5-15 min|15-60 min|9:30-11:00|11:00-16:00|Not by 16:00|")&lt;FIND("|"&amp;R78&amp;"|","|1-5 min|5-15 min|15-60 min|9:30-11:00|11:00-16:00|Not by 16:00|"),IF(E78="Up","High first (main side)",IF(E78="Down","High first (wick side)","High first")),IF(E78="Down","Low first (main side)",IF(E78="Up","Low first (wick side)","Low first"))))),"Check entries"))</f>
        <v/>
      </c>
      <c r="X78" s="28" t="n"/>
      <c r="Y78" s="27" t="n"/>
      <c r="Z78" s="27" t="n"/>
      <c r="AA78" s="27" t="n"/>
      <c r="AB78" s="27" t="n"/>
      <c r="AC78" s="27" t="n"/>
      <c r="AD78" s="27" t="n"/>
      <c r="AE78" s="28" t="n"/>
      <c r="AF78" s="30" t="n"/>
      <c r="AG78" s="27" t="n"/>
    </row>
    <row r="79">
      <c r="A79" s="25" t="n"/>
      <c r="B79" s="26">
        <f>IF(ISNUMBER(A79),TEXT(A79,"ddd"),"")</f>
        <v/>
      </c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8" t="n"/>
      <c r="M79" s="26">
        <f>IF(OR(L79="",AND(E79&lt;&gt;"Up",E79&lt;&gt;"Down")),"",IF(OR(L79="In line",L79="Mixed"),"Neutral data",IF(OR(AND(L79="Hotter",E79="Down"),AND(L79="Cooler",E79="Up")),"With data","Against data")))</f>
        <v/>
      </c>
      <c r="N79" s="28" t="n"/>
      <c r="O79" s="27" t="n"/>
      <c r="P79" s="27" t="n"/>
      <c r="Q79" s="28" t="n"/>
      <c r="R79" s="27" t="n"/>
      <c r="S79" s="29" t="n"/>
      <c r="T79" s="27" t="n"/>
      <c r="U79" s="27" t="n"/>
      <c r="V79" s="26">
        <f>IF(OR(AND(E79&lt;&gt;"Up",E79&lt;&gt;"Down"),NOT(ISNUMBER(S79)),IF(E79="Up",Q79,R79)=""),"",IF(S79&gt;=100,"Back to open",IF(OR(IF(E79="Up",Q79,R79)="1-5 min",IF(E79="Up",Q79,R79)="5-15 min"),"Continued",IF(S79&gt;=50,"Partial retrace","Stalled / chop"))))</f>
        <v/>
      </c>
      <c r="W79" s="26">
        <f>IF(OR(Q79="",R79=""),"",IFERROR(IF(AND(Q79="Not by 16:00",R79="Not by 16:00"),"Neither taken",IF(FIND("|"&amp;Q79&amp;"|","|1-5 min|5-15 min|15-60 min|9:30-11:00|11:00-16:00|Not by 16:00|")=FIND("|"&amp;R79&amp;"|","|1-5 min|5-15 min|15-60 min|9:30-11:00|11:00-16:00|Not by 16:00|"),"Same window",IF(FIND("|"&amp;Q79&amp;"|","|1-5 min|5-15 min|15-60 min|9:30-11:00|11:00-16:00|Not by 16:00|")&lt;FIND("|"&amp;R79&amp;"|","|1-5 min|5-15 min|15-60 min|9:30-11:00|11:00-16:00|Not by 16:00|"),IF(E79="Up","High first (main side)",IF(E79="Down","High first (wick side)","High first")),IF(E79="Down","Low first (main side)",IF(E79="Up","Low first (wick side)","Low first"))))),"Check entries"))</f>
        <v/>
      </c>
      <c r="X79" s="28" t="n"/>
      <c r="Y79" s="27" t="n"/>
      <c r="Z79" s="27" t="n"/>
      <c r="AA79" s="27" t="n"/>
      <c r="AB79" s="27" t="n"/>
      <c r="AC79" s="27" t="n"/>
      <c r="AD79" s="27" t="n"/>
      <c r="AE79" s="28" t="n"/>
      <c r="AF79" s="30" t="n"/>
      <c r="AG79" s="27" t="n"/>
    </row>
    <row r="80">
      <c r="A80" s="25" t="n"/>
      <c r="B80" s="26">
        <f>IF(ISNUMBER(A80),TEXT(A80,"ddd"),"")</f>
        <v/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8" t="n"/>
      <c r="M80" s="26">
        <f>IF(OR(L80="",AND(E80&lt;&gt;"Up",E80&lt;&gt;"Down")),"",IF(OR(L80="In line",L80="Mixed"),"Neutral data",IF(OR(AND(L80="Hotter",E80="Down"),AND(L80="Cooler",E80="Up")),"With data","Against data")))</f>
        <v/>
      </c>
      <c r="N80" s="28" t="n"/>
      <c r="O80" s="27" t="n"/>
      <c r="P80" s="27" t="n"/>
      <c r="Q80" s="28" t="n"/>
      <c r="R80" s="27" t="n"/>
      <c r="S80" s="29" t="n"/>
      <c r="T80" s="27" t="n"/>
      <c r="U80" s="27" t="n"/>
      <c r="V80" s="26">
        <f>IF(OR(AND(E80&lt;&gt;"Up",E80&lt;&gt;"Down"),NOT(ISNUMBER(S80)),IF(E80="Up",Q80,R80)=""),"",IF(S80&gt;=100,"Back to open",IF(OR(IF(E80="Up",Q80,R80)="1-5 min",IF(E80="Up",Q80,R80)="5-15 min"),"Continued",IF(S80&gt;=50,"Partial retrace","Stalled / chop"))))</f>
        <v/>
      </c>
      <c r="W80" s="26">
        <f>IF(OR(Q80="",R80=""),"",IFERROR(IF(AND(Q80="Not by 16:00",R80="Not by 16:00"),"Neither taken",IF(FIND("|"&amp;Q80&amp;"|","|1-5 min|5-15 min|15-60 min|9:30-11:00|11:00-16:00|Not by 16:00|")=FIND("|"&amp;R80&amp;"|","|1-5 min|5-15 min|15-60 min|9:30-11:00|11:00-16:00|Not by 16:00|"),"Same window",IF(FIND("|"&amp;Q80&amp;"|","|1-5 min|5-15 min|15-60 min|9:30-11:00|11:00-16:00|Not by 16:00|")&lt;FIND("|"&amp;R80&amp;"|","|1-5 min|5-15 min|15-60 min|9:30-11:00|11:00-16:00|Not by 16:00|"),IF(E80="Up","High first (main side)",IF(E80="Down","High first (wick side)","High first")),IF(E80="Down","Low first (main side)",IF(E80="Up","Low first (wick side)","Low first"))))),"Check entries"))</f>
        <v/>
      </c>
      <c r="X80" s="28" t="n"/>
      <c r="Y80" s="27" t="n"/>
      <c r="Z80" s="27" t="n"/>
      <c r="AA80" s="27" t="n"/>
      <c r="AB80" s="27" t="n"/>
      <c r="AC80" s="27" t="n"/>
      <c r="AD80" s="27" t="n"/>
      <c r="AE80" s="28" t="n"/>
      <c r="AF80" s="30" t="n"/>
      <c r="AG80" s="27" t="n"/>
    </row>
    <row r="81">
      <c r="A81" s="25" t="n"/>
      <c r="B81" s="26">
        <f>IF(ISNUMBER(A81),TEXT(A81,"ddd"),"")</f>
        <v/>
      </c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8" t="n"/>
      <c r="M81" s="26">
        <f>IF(OR(L81="",AND(E81&lt;&gt;"Up",E81&lt;&gt;"Down")),"",IF(OR(L81="In line",L81="Mixed"),"Neutral data",IF(OR(AND(L81="Hotter",E81="Down"),AND(L81="Cooler",E81="Up")),"With data","Against data")))</f>
        <v/>
      </c>
      <c r="N81" s="28" t="n"/>
      <c r="O81" s="27" t="n"/>
      <c r="P81" s="27" t="n"/>
      <c r="Q81" s="28" t="n"/>
      <c r="R81" s="27" t="n"/>
      <c r="S81" s="29" t="n"/>
      <c r="T81" s="27" t="n"/>
      <c r="U81" s="27" t="n"/>
      <c r="V81" s="26">
        <f>IF(OR(AND(E81&lt;&gt;"Up",E81&lt;&gt;"Down"),NOT(ISNUMBER(S81)),IF(E81="Up",Q81,R81)=""),"",IF(S81&gt;=100,"Back to open",IF(OR(IF(E81="Up",Q81,R81)="1-5 min",IF(E81="Up",Q81,R81)="5-15 min"),"Continued",IF(S81&gt;=50,"Partial retrace","Stalled / chop"))))</f>
        <v/>
      </c>
      <c r="W81" s="26">
        <f>IF(OR(Q81="",R81=""),"",IFERROR(IF(AND(Q81="Not by 16:00",R81="Not by 16:00"),"Neither taken",IF(FIND("|"&amp;Q81&amp;"|","|1-5 min|5-15 min|15-60 min|9:30-11:00|11:00-16:00|Not by 16:00|")=FIND("|"&amp;R81&amp;"|","|1-5 min|5-15 min|15-60 min|9:30-11:00|11:00-16:00|Not by 16:00|"),"Same window",IF(FIND("|"&amp;Q81&amp;"|","|1-5 min|5-15 min|15-60 min|9:30-11:00|11:00-16:00|Not by 16:00|")&lt;FIND("|"&amp;R81&amp;"|","|1-5 min|5-15 min|15-60 min|9:30-11:00|11:00-16:00|Not by 16:00|"),IF(E81="Up","High first (main side)",IF(E81="Down","High first (wick side)","High first")),IF(E81="Down","Low first (main side)",IF(E81="Up","Low first (wick side)","Low first"))))),"Check entries"))</f>
        <v/>
      </c>
      <c r="X81" s="28" t="n"/>
      <c r="Y81" s="27" t="n"/>
      <c r="Z81" s="27" t="n"/>
      <c r="AA81" s="27" t="n"/>
      <c r="AB81" s="27" t="n"/>
      <c r="AC81" s="27" t="n"/>
      <c r="AD81" s="27" t="n"/>
      <c r="AE81" s="28" t="n"/>
      <c r="AF81" s="30" t="n"/>
      <c r="AG81" s="27" t="n"/>
    </row>
    <row r="82">
      <c r="A82" s="25" t="n"/>
      <c r="B82" s="26">
        <f>IF(ISNUMBER(A82),TEXT(A82,"ddd"),"")</f>
        <v/>
      </c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8" t="n"/>
      <c r="M82" s="26">
        <f>IF(OR(L82="",AND(E82&lt;&gt;"Up",E82&lt;&gt;"Down")),"",IF(OR(L82="In line",L82="Mixed"),"Neutral data",IF(OR(AND(L82="Hotter",E82="Down"),AND(L82="Cooler",E82="Up")),"With data","Against data")))</f>
        <v/>
      </c>
      <c r="N82" s="28" t="n"/>
      <c r="O82" s="27" t="n"/>
      <c r="P82" s="27" t="n"/>
      <c r="Q82" s="28" t="n"/>
      <c r="R82" s="27" t="n"/>
      <c r="S82" s="29" t="n"/>
      <c r="T82" s="27" t="n"/>
      <c r="U82" s="27" t="n"/>
      <c r="V82" s="26">
        <f>IF(OR(AND(E82&lt;&gt;"Up",E82&lt;&gt;"Down"),NOT(ISNUMBER(S82)),IF(E82="Up",Q82,R82)=""),"",IF(S82&gt;=100,"Back to open",IF(OR(IF(E82="Up",Q82,R82)="1-5 min",IF(E82="Up",Q82,R82)="5-15 min"),"Continued",IF(S82&gt;=50,"Partial retrace","Stalled / chop"))))</f>
        <v/>
      </c>
      <c r="W82" s="26">
        <f>IF(OR(Q82="",R82=""),"",IFERROR(IF(AND(Q82="Not by 16:00",R82="Not by 16:00"),"Neither taken",IF(FIND("|"&amp;Q82&amp;"|","|1-5 min|5-15 min|15-60 min|9:30-11:00|11:00-16:00|Not by 16:00|")=FIND("|"&amp;R82&amp;"|","|1-5 min|5-15 min|15-60 min|9:30-11:00|11:00-16:00|Not by 16:00|"),"Same window",IF(FIND("|"&amp;Q82&amp;"|","|1-5 min|5-15 min|15-60 min|9:30-11:00|11:00-16:00|Not by 16:00|")&lt;FIND("|"&amp;R82&amp;"|","|1-5 min|5-15 min|15-60 min|9:30-11:00|11:00-16:00|Not by 16:00|"),IF(E82="Up","High first (main side)",IF(E82="Down","High first (wick side)","High first")),IF(E82="Down","Low first (main side)",IF(E82="Up","Low first (wick side)","Low first"))))),"Check entries"))</f>
        <v/>
      </c>
      <c r="X82" s="28" t="n"/>
      <c r="Y82" s="27" t="n"/>
      <c r="Z82" s="27" t="n"/>
      <c r="AA82" s="27" t="n"/>
      <c r="AB82" s="27" t="n"/>
      <c r="AC82" s="27" t="n"/>
      <c r="AD82" s="27" t="n"/>
      <c r="AE82" s="28" t="n"/>
      <c r="AF82" s="30" t="n"/>
      <c r="AG82" s="27" t="n"/>
    </row>
    <row r="83">
      <c r="A83" s="25" t="n"/>
      <c r="B83" s="26">
        <f>IF(ISNUMBER(A83),TEXT(A83,"ddd"),"")</f>
        <v/>
      </c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8" t="n"/>
      <c r="M83" s="26">
        <f>IF(OR(L83="",AND(E83&lt;&gt;"Up",E83&lt;&gt;"Down")),"",IF(OR(L83="In line",L83="Mixed"),"Neutral data",IF(OR(AND(L83="Hotter",E83="Down"),AND(L83="Cooler",E83="Up")),"With data","Against data")))</f>
        <v/>
      </c>
      <c r="N83" s="28" t="n"/>
      <c r="O83" s="27" t="n"/>
      <c r="P83" s="27" t="n"/>
      <c r="Q83" s="28" t="n"/>
      <c r="R83" s="27" t="n"/>
      <c r="S83" s="29" t="n"/>
      <c r="T83" s="27" t="n"/>
      <c r="U83" s="27" t="n"/>
      <c r="V83" s="26">
        <f>IF(OR(AND(E83&lt;&gt;"Up",E83&lt;&gt;"Down"),NOT(ISNUMBER(S83)),IF(E83="Up",Q83,R83)=""),"",IF(S83&gt;=100,"Back to open",IF(OR(IF(E83="Up",Q83,R83)="1-5 min",IF(E83="Up",Q83,R83)="5-15 min"),"Continued",IF(S83&gt;=50,"Partial retrace","Stalled / chop"))))</f>
        <v/>
      </c>
      <c r="W83" s="26">
        <f>IF(OR(Q83="",R83=""),"",IFERROR(IF(AND(Q83="Not by 16:00",R83="Not by 16:00"),"Neither taken",IF(FIND("|"&amp;Q83&amp;"|","|1-5 min|5-15 min|15-60 min|9:30-11:00|11:00-16:00|Not by 16:00|")=FIND("|"&amp;R83&amp;"|","|1-5 min|5-15 min|15-60 min|9:30-11:00|11:00-16:00|Not by 16:00|"),"Same window",IF(FIND("|"&amp;Q83&amp;"|","|1-5 min|5-15 min|15-60 min|9:30-11:00|11:00-16:00|Not by 16:00|")&lt;FIND("|"&amp;R83&amp;"|","|1-5 min|5-15 min|15-60 min|9:30-11:00|11:00-16:00|Not by 16:00|"),IF(E83="Up","High first (main side)",IF(E83="Down","High first (wick side)","High first")),IF(E83="Down","Low first (main side)",IF(E83="Up","Low first (wick side)","Low first"))))),"Check entries"))</f>
        <v/>
      </c>
      <c r="X83" s="28" t="n"/>
      <c r="Y83" s="27" t="n"/>
      <c r="Z83" s="27" t="n"/>
      <c r="AA83" s="27" t="n"/>
      <c r="AB83" s="27" t="n"/>
      <c r="AC83" s="27" t="n"/>
      <c r="AD83" s="27" t="n"/>
      <c r="AE83" s="28" t="n"/>
      <c r="AF83" s="30" t="n"/>
      <c r="AG83" s="27" t="n"/>
    </row>
    <row r="84">
      <c r="A84" s="25" t="n"/>
      <c r="B84" s="26">
        <f>IF(ISNUMBER(A84),TEXT(A84,"ddd"),"")</f>
        <v/>
      </c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8" t="n"/>
      <c r="M84" s="26">
        <f>IF(OR(L84="",AND(E84&lt;&gt;"Up",E84&lt;&gt;"Down")),"",IF(OR(L84="In line",L84="Mixed"),"Neutral data",IF(OR(AND(L84="Hotter",E84="Down"),AND(L84="Cooler",E84="Up")),"With data","Against data")))</f>
        <v/>
      </c>
      <c r="N84" s="28" t="n"/>
      <c r="O84" s="27" t="n"/>
      <c r="P84" s="27" t="n"/>
      <c r="Q84" s="28" t="n"/>
      <c r="R84" s="27" t="n"/>
      <c r="S84" s="29" t="n"/>
      <c r="T84" s="27" t="n"/>
      <c r="U84" s="27" t="n"/>
      <c r="V84" s="26">
        <f>IF(OR(AND(E84&lt;&gt;"Up",E84&lt;&gt;"Down"),NOT(ISNUMBER(S84)),IF(E84="Up",Q84,R84)=""),"",IF(S84&gt;=100,"Back to open",IF(OR(IF(E84="Up",Q84,R84)="1-5 min",IF(E84="Up",Q84,R84)="5-15 min"),"Continued",IF(S84&gt;=50,"Partial retrace","Stalled / chop"))))</f>
        <v/>
      </c>
      <c r="W84" s="26">
        <f>IF(OR(Q84="",R84=""),"",IFERROR(IF(AND(Q84="Not by 16:00",R84="Not by 16:00"),"Neither taken",IF(FIND("|"&amp;Q84&amp;"|","|1-5 min|5-15 min|15-60 min|9:30-11:00|11:00-16:00|Not by 16:00|")=FIND("|"&amp;R84&amp;"|","|1-5 min|5-15 min|15-60 min|9:30-11:00|11:00-16:00|Not by 16:00|"),"Same window",IF(FIND("|"&amp;Q84&amp;"|","|1-5 min|5-15 min|15-60 min|9:30-11:00|11:00-16:00|Not by 16:00|")&lt;FIND("|"&amp;R84&amp;"|","|1-5 min|5-15 min|15-60 min|9:30-11:00|11:00-16:00|Not by 16:00|"),IF(E84="Up","High first (main side)",IF(E84="Down","High first (wick side)","High first")),IF(E84="Down","Low first (main side)",IF(E84="Up","Low first (wick side)","Low first"))))),"Check entries"))</f>
        <v/>
      </c>
      <c r="X84" s="28" t="n"/>
      <c r="Y84" s="27" t="n"/>
      <c r="Z84" s="27" t="n"/>
      <c r="AA84" s="27" t="n"/>
      <c r="AB84" s="27" t="n"/>
      <c r="AC84" s="27" t="n"/>
      <c r="AD84" s="27" t="n"/>
      <c r="AE84" s="28" t="n"/>
      <c r="AF84" s="30" t="n"/>
      <c r="AG84" s="27" t="n"/>
    </row>
    <row r="85">
      <c r="A85" s="25" t="n"/>
      <c r="B85" s="26">
        <f>IF(ISNUMBER(A85),TEXT(A85,"ddd"),"")</f>
        <v/>
      </c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8" t="n"/>
      <c r="M85" s="26">
        <f>IF(OR(L85="",AND(E85&lt;&gt;"Up",E85&lt;&gt;"Down")),"",IF(OR(L85="In line",L85="Mixed"),"Neutral data",IF(OR(AND(L85="Hotter",E85="Down"),AND(L85="Cooler",E85="Up")),"With data","Against data")))</f>
        <v/>
      </c>
      <c r="N85" s="28" t="n"/>
      <c r="O85" s="27" t="n"/>
      <c r="P85" s="27" t="n"/>
      <c r="Q85" s="28" t="n"/>
      <c r="R85" s="27" t="n"/>
      <c r="S85" s="29" t="n"/>
      <c r="T85" s="27" t="n"/>
      <c r="U85" s="27" t="n"/>
      <c r="V85" s="26">
        <f>IF(OR(AND(E85&lt;&gt;"Up",E85&lt;&gt;"Down"),NOT(ISNUMBER(S85)),IF(E85="Up",Q85,R85)=""),"",IF(S85&gt;=100,"Back to open",IF(OR(IF(E85="Up",Q85,R85)="1-5 min",IF(E85="Up",Q85,R85)="5-15 min"),"Continued",IF(S85&gt;=50,"Partial retrace","Stalled / chop"))))</f>
        <v/>
      </c>
      <c r="W85" s="26">
        <f>IF(OR(Q85="",R85=""),"",IFERROR(IF(AND(Q85="Not by 16:00",R85="Not by 16:00"),"Neither taken",IF(FIND("|"&amp;Q85&amp;"|","|1-5 min|5-15 min|15-60 min|9:30-11:00|11:00-16:00|Not by 16:00|")=FIND("|"&amp;R85&amp;"|","|1-5 min|5-15 min|15-60 min|9:30-11:00|11:00-16:00|Not by 16:00|"),"Same window",IF(FIND("|"&amp;Q85&amp;"|","|1-5 min|5-15 min|15-60 min|9:30-11:00|11:00-16:00|Not by 16:00|")&lt;FIND("|"&amp;R85&amp;"|","|1-5 min|5-15 min|15-60 min|9:30-11:00|11:00-16:00|Not by 16:00|"),IF(E85="Up","High first (main side)",IF(E85="Down","High first (wick side)","High first")),IF(E85="Down","Low first (main side)",IF(E85="Up","Low first (wick side)","Low first"))))),"Check entries"))</f>
        <v/>
      </c>
      <c r="X85" s="28" t="n"/>
      <c r="Y85" s="27" t="n"/>
      <c r="Z85" s="27" t="n"/>
      <c r="AA85" s="27" t="n"/>
      <c r="AB85" s="27" t="n"/>
      <c r="AC85" s="27" t="n"/>
      <c r="AD85" s="27" t="n"/>
      <c r="AE85" s="28" t="n"/>
      <c r="AF85" s="30" t="n"/>
      <c r="AG85" s="27" t="n"/>
    </row>
    <row r="86">
      <c r="A86" s="25" t="n"/>
      <c r="B86" s="26">
        <f>IF(ISNUMBER(A86),TEXT(A86,"ddd"),"")</f>
        <v/>
      </c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8" t="n"/>
      <c r="M86" s="26">
        <f>IF(OR(L86="",AND(E86&lt;&gt;"Up",E86&lt;&gt;"Down")),"",IF(OR(L86="In line",L86="Mixed"),"Neutral data",IF(OR(AND(L86="Hotter",E86="Down"),AND(L86="Cooler",E86="Up")),"With data","Against data")))</f>
        <v/>
      </c>
      <c r="N86" s="28" t="n"/>
      <c r="O86" s="27" t="n"/>
      <c r="P86" s="27" t="n"/>
      <c r="Q86" s="28" t="n"/>
      <c r="R86" s="27" t="n"/>
      <c r="S86" s="29" t="n"/>
      <c r="T86" s="27" t="n"/>
      <c r="U86" s="27" t="n"/>
      <c r="V86" s="26">
        <f>IF(OR(AND(E86&lt;&gt;"Up",E86&lt;&gt;"Down"),NOT(ISNUMBER(S86)),IF(E86="Up",Q86,R86)=""),"",IF(S86&gt;=100,"Back to open",IF(OR(IF(E86="Up",Q86,R86)="1-5 min",IF(E86="Up",Q86,R86)="5-15 min"),"Continued",IF(S86&gt;=50,"Partial retrace","Stalled / chop"))))</f>
        <v/>
      </c>
      <c r="W86" s="26">
        <f>IF(OR(Q86="",R86=""),"",IFERROR(IF(AND(Q86="Not by 16:00",R86="Not by 16:00"),"Neither taken",IF(FIND("|"&amp;Q86&amp;"|","|1-5 min|5-15 min|15-60 min|9:30-11:00|11:00-16:00|Not by 16:00|")=FIND("|"&amp;R86&amp;"|","|1-5 min|5-15 min|15-60 min|9:30-11:00|11:00-16:00|Not by 16:00|"),"Same window",IF(FIND("|"&amp;Q86&amp;"|","|1-5 min|5-15 min|15-60 min|9:30-11:00|11:00-16:00|Not by 16:00|")&lt;FIND("|"&amp;R86&amp;"|","|1-5 min|5-15 min|15-60 min|9:30-11:00|11:00-16:00|Not by 16:00|"),IF(E86="Up","High first (main side)",IF(E86="Down","High first (wick side)","High first")),IF(E86="Down","Low first (main side)",IF(E86="Up","Low first (wick side)","Low first"))))),"Check entries"))</f>
        <v/>
      </c>
      <c r="X86" s="28" t="n"/>
      <c r="Y86" s="27" t="n"/>
      <c r="Z86" s="27" t="n"/>
      <c r="AA86" s="27" t="n"/>
      <c r="AB86" s="27" t="n"/>
      <c r="AC86" s="27" t="n"/>
      <c r="AD86" s="27" t="n"/>
      <c r="AE86" s="28" t="n"/>
      <c r="AF86" s="30" t="n"/>
      <c r="AG86" s="27" t="n"/>
    </row>
    <row r="87">
      <c r="A87" s="25" t="n"/>
      <c r="B87" s="26">
        <f>IF(ISNUMBER(A87),TEXT(A87,"ddd"),"")</f>
        <v/>
      </c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8" t="n"/>
      <c r="M87" s="26">
        <f>IF(OR(L87="",AND(E87&lt;&gt;"Up",E87&lt;&gt;"Down")),"",IF(OR(L87="In line",L87="Mixed"),"Neutral data",IF(OR(AND(L87="Hotter",E87="Down"),AND(L87="Cooler",E87="Up")),"With data","Against data")))</f>
        <v/>
      </c>
      <c r="N87" s="28" t="n"/>
      <c r="O87" s="27" t="n"/>
      <c r="P87" s="27" t="n"/>
      <c r="Q87" s="28" t="n"/>
      <c r="R87" s="27" t="n"/>
      <c r="S87" s="29" t="n"/>
      <c r="T87" s="27" t="n"/>
      <c r="U87" s="27" t="n"/>
      <c r="V87" s="26">
        <f>IF(OR(AND(E87&lt;&gt;"Up",E87&lt;&gt;"Down"),NOT(ISNUMBER(S87)),IF(E87="Up",Q87,R87)=""),"",IF(S87&gt;=100,"Back to open",IF(OR(IF(E87="Up",Q87,R87)="1-5 min",IF(E87="Up",Q87,R87)="5-15 min"),"Continued",IF(S87&gt;=50,"Partial retrace","Stalled / chop"))))</f>
        <v/>
      </c>
      <c r="W87" s="26">
        <f>IF(OR(Q87="",R87=""),"",IFERROR(IF(AND(Q87="Not by 16:00",R87="Not by 16:00"),"Neither taken",IF(FIND("|"&amp;Q87&amp;"|","|1-5 min|5-15 min|15-60 min|9:30-11:00|11:00-16:00|Not by 16:00|")=FIND("|"&amp;R87&amp;"|","|1-5 min|5-15 min|15-60 min|9:30-11:00|11:00-16:00|Not by 16:00|"),"Same window",IF(FIND("|"&amp;Q87&amp;"|","|1-5 min|5-15 min|15-60 min|9:30-11:00|11:00-16:00|Not by 16:00|")&lt;FIND("|"&amp;R87&amp;"|","|1-5 min|5-15 min|15-60 min|9:30-11:00|11:00-16:00|Not by 16:00|"),IF(E87="Up","High first (main side)",IF(E87="Down","High first (wick side)","High first")),IF(E87="Down","Low first (main side)",IF(E87="Up","Low first (wick side)","Low first"))))),"Check entries"))</f>
        <v/>
      </c>
      <c r="X87" s="28" t="n"/>
      <c r="Y87" s="27" t="n"/>
      <c r="Z87" s="27" t="n"/>
      <c r="AA87" s="27" t="n"/>
      <c r="AB87" s="27" t="n"/>
      <c r="AC87" s="27" t="n"/>
      <c r="AD87" s="27" t="n"/>
      <c r="AE87" s="28" t="n"/>
      <c r="AF87" s="30" t="n"/>
      <c r="AG87" s="27" t="n"/>
    </row>
    <row r="88">
      <c r="A88" s="25" t="n"/>
      <c r="B88" s="26">
        <f>IF(ISNUMBER(A88),TEXT(A88,"ddd"),"")</f>
        <v/>
      </c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8" t="n"/>
      <c r="M88" s="26">
        <f>IF(OR(L88="",AND(E88&lt;&gt;"Up",E88&lt;&gt;"Down")),"",IF(OR(L88="In line",L88="Mixed"),"Neutral data",IF(OR(AND(L88="Hotter",E88="Down"),AND(L88="Cooler",E88="Up")),"With data","Against data")))</f>
        <v/>
      </c>
      <c r="N88" s="28" t="n"/>
      <c r="O88" s="27" t="n"/>
      <c r="P88" s="27" t="n"/>
      <c r="Q88" s="28" t="n"/>
      <c r="R88" s="27" t="n"/>
      <c r="S88" s="29" t="n"/>
      <c r="T88" s="27" t="n"/>
      <c r="U88" s="27" t="n"/>
      <c r="V88" s="26">
        <f>IF(OR(AND(E88&lt;&gt;"Up",E88&lt;&gt;"Down"),NOT(ISNUMBER(S88)),IF(E88="Up",Q88,R88)=""),"",IF(S88&gt;=100,"Back to open",IF(OR(IF(E88="Up",Q88,R88)="1-5 min",IF(E88="Up",Q88,R88)="5-15 min"),"Continued",IF(S88&gt;=50,"Partial retrace","Stalled / chop"))))</f>
        <v/>
      </c>
      <c r="W88" s="26">
        <f>IF(OR(Q88="",R88=""),"",IFERROR(IF(AND(Q88="Not by 16:00",R88="Not by 16:00"),"Neither taken",IF(FIND("|"&amp;Q88&amp;"|","|1-5 min|5-15 min|15-60 min|9:30-11:00|11:00-16:00|Not by 16:00|")=FIND("|"&amp;R88&amp;"|","|1-5 min|5-15 min|15-60 min|9:30-11:00|11:00-16:00|Not by 16:00|"),"Same window",IF(FIND("|"&amp;Q88&amp;"|","|1-5 min|5-15 min|15-60 min|9:30-11:00|11:00-16:00|Not by 16:00|")&lt;FIND("|"&amp;R88&amp;"|","|1-5 min|5-15 min|15-60 min|9:30-11:00|11:00-16:00|Not by 16:00|"),IF(E88="Up","High first (main side)",IF(E88="Down","High first (wick side)","High first")),IF(E88="Down","Low first (main side)",IF(E88="Up","Low first (wick side)","Low first"))))),"Check entries"))</f>
        <v/>
      </c>
      <c r="X88" s="28" t="n"/>
      <c r="Y88" s="27" t="n"/>
      <c r="Z88" s="27" t="n"/>
      <c r="AA88" s="27" t="n"/>
      <c r="AB88" s="27" t="n"/>
      <c r="AC88" s="27" t="n"/>
      <c r="AD88" s="27" t="n"/>
      <c r="AE88" s="28" t="n"/>
      <c r="AF88" s="30" t="n"/>
      <c r="AG88" s="27" t="n"/>
    </row>
    <row r="89">
      <c r="A89" s="25" t="n"/>
      <c r="B89" s="26">
        <f>IF(ISNUMBER(A89),TEXT(A89,"ddd"),"")</f>
        <v/>
      </c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8" t="n"/>
      <c r="M89" s="26">
        <f>IF(OR(L89="",AND(E89&lt;&gt;"Up",E89&lt;&gt;"Down")),"",IF(OR(L89="In line",L89="Mixed"),"Neutral data",IF(OR(AND(L89="Hotter",E89="Down"),AND(L89="Cooler",E89="Up")),"With data","Against data")))</f>
        <v/>
      </c>
      <c r="N89" s="28" t="n"/>
      <c r="O89" s="27" t="n"/>
      <c r="P89" s="27" t="n"/>
      <c r="Q89" s="28" t="n"/>
      <c r="R89" s="27" t="n"/>
      <c r="S89" s="29" t="n"/>
      <c r="T89" s="27" t="n"/>
      <c r="U89" s="27" t="n"/>
      <c r="V89" s="26">
        <f>IF(OR(AND(E89&lt;&gt;"Up",E89&lt;&gt;"Down"),NOT(ISNUMBER(S89)),IF(E89="Up",Q89,R89)=""),"",IF(S89&gt;=100,"Back to open",IF(OR(IF(E89="Up",Q89,R89)="1-5 min",IF(E89="Up",Q89,R89)="5-15 min"),"Continued",IF(S89&gt;=50,"Partial retrace","Stalled / chop"))))</f>
        <v/>
      </c>
      <c r="W89" s="26">
        <f>IF(OR(Q89="",R89=""),"",IFERROR(IF(AND(Q89="Not by 16:00",R89="Not by 16:00"),"Neither taken",IF(FIND("|"&amp;Q89&amp;"|","|1-5 min|5-15 min|15-60 min|9:30-11:00|11:00-16:00|Not by 16:00|")=FIND("|"&amp;R89&amp;"|","|1-5 min|5-15 min|15-60 min|9:30-11:00|11:00-16:00|Not by 16:00|"),"Same window",IF(FIND("|"&amp;Q89&amp;"|","|1-5 min|5-15 min|15-60 min|9:30-11:00|11:00-16:00|Not by 16:00|")&lt;FIND("|"&amp;R89&amp;"|","|1-5 min|5-15 min|15-60 min|9:30-11:00|11:00-16:00|Not by 16:00|"),IF(E89="Up","High first (main side)",IF(E89="Down","High first (wick side)","High first")),IF(E89="Down","Low first (main side)",IF(E89="Up","Low first (wick side)","Low first"))))),"Check entries"))</f>
        <v/>
      </c>
      <c r="X89" s="28" t="n"/>
      <c r="Y89" s="27" t="n"/>
      <c r="Z89" s="27" t="n"/>
      <c r="AA89" s="27" t="n"/>
      <c r="AB89" s="27" t="n"/>
      <c r="AC89" s="27" t="n"/>
      <c r="AD89" s="27" t="n"/>
      <c r="AE89" s="28" t="n"/>
      <c r="AF89" s="30" t="n"/>
      <c r="AG89" s="27" t="n"/>
    </row>
    <row r="90">
      <c r="A90" s="25" t="n"/>
      <c r="B90" s="26">
        <f>IF(ISNUMBER(A90),TEXT(A90,"ddd"),"")</f>
        <v/>
      </c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8" t="n"/>
      <c r="M90" s="26">
        <f>IF(OR(L90="",AND(E90&lt;&gt;"Up",E90&lt;&gt;"Down")),"",IF(OR(L90="In line",L90="Mixed"),"Neutral data",IF(OR(AND(L90="Hotter",E90="Down"),AND(L90="Cooler",E90="Up")),"With data","Against data")))</f>
        <v/>
      </c>
      <c r="N90" s="28" t="n"/>
      <c r="O90" s="27" t="n"/>
      <c r="P90" s="27" t="n"/>
      <c r="Q90" s="28" t="n"/>
      <c r="R90" s="27" t="n"/>
      <c r="S90" s="29" t="n"/>
      <c r="T90" s="27" t="n"/>
      <c r="U90" s="27" t="n"/>
      <c r="V90" s="26">
        <f>IF(OR(AND(E90&lt;&gt;"Up",E90&lt;&gt;"Down"),NOT(ISNUMBER(S90)),IF(E90="Up",Q90,R90)=""),"",IF(S90&gt;=100,"Back to open",IF(OR(IF(E90="Up",Q90,R90)="1-5 min",IF(E90="Up",Q90,R90)="5-15 min"),"Continued",IF(S90&gt;=50,"Partial retrace","Stalled / chop"))))</f>
        <v/>
      </c>
      <c r="W90" s="26">
        <f>IF(OR(Q90="",R90=""),"",IFERROR(IF(AND(Q90="Not by 16:00",R90="Not by 16:00"),"Neither taken",IF(FIND("|"&amp;Q90&amp;"|","|1-5 min|5-15 min|15-60 min|9:30-11:00|11:00-16:00|Not by 16:00|")=FIND("|"&amp;R90&amp;"|","|1-5 min|5-15 min|15-60 min|9:30-11:00|11:00-16:00|Not by 16:00|"),"Same window",IF(FIND("|"&amp;Q90&amp;"|","|1-5 min|5-15 min|15-60 min|9:30-11:00|11:00-16:00|Not by 16:00|")&lt;FIND("|"&amp;R90&amp;"|","|1-5 min|5-15 min|15-60 min|9:30-11:00|11:00-16:00|Not by 16:00|"),IF(E90="Up","High first (main side)",IF(E90="Down","High first (wick side)","High first")),IF(E90="Down","Low first (main side)",IF(E90="Up","Low first (wick side)","Low first"))))),"Check entries"))</f>
        <v/>
      </c>
      <c r="X90" s="28" t="n"/>
      <c r="Y90" s="27" t="n"/>
      <c r="Z90" s="27" t="n"/>
      <c r="AA90" s="27" t="n"/>
      <c r="AB90" s="27" t="n"/>
      <c r="AC90" s="27" t="n"/>
      <c r="AD90" s="27" t="n"/>
      <c r="AE90" s="28" t="n"/>
      <c r="AF90" s="30" t="n"/>
      <c r="AG90" s="27" t="n"/>
    </row>
    <row r="91">
      <c r="A91" s="25" t="n"/>
      <c r="B91" s="26">
        <f>IF(ISNUMBER(A91),TEXT(A91,"ddd"),"")</f>
        <v/>
      </c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8" t="n"/>
      <c r="M91" s="26">
        <f>IF(OR(L91="",AND(E91&lt;&gt;"Up",E91&lt;&gt;"Down")),"",IF(OR(L91="In line",L91="Mixed"),"Neutral data",IF(OR(AND(L91="Hotter",E91="Down"),AND(L91="Cooler",E91="Up")),"With data","Against data")))</f>
        <v/>
      </c>
      <c r="N91" s="28" t="n"/>
      <c r="O91" s="27" t="n"/>
      <c r="P91" s="27" t="n"/>
      <c r="Q91" s="28" t="n"/>
      <c r="R91" s="27" t="n"/>
      <c r="S91" s="29" t="n"/>
      <c r="T91" s="27" t="n"/>
      <c r="U91" s="27" t="n"/>
      <c r="V91" s="26">
        <f>IF(OR(AND(E91&lt;&gt;"Up",E91&lt;&gt;"Down"),NOT(ISNUMBER(S91)),IF(E91="Up",Q91,R91)=""),"",IF(S91&gt;=100,"Back to open",IF(OR(IF(E91="Up",Q91,R91)="1-5 min",IF(E91="Up",Q91,R91)="5-15 min"),"Continued",IF(S91&gt;=50,"Partial retrace","Stalled / chop"))))</f>
        <v/>
      </c>
      <c r="W91" s="26">
        <f>IF(OR(Q91="",R91=""),"",IFERROR(IF(AND(Q91="Not by 16:00",R91="Not by 16:00"),"Neither taken",IF(FIND("|"&amp;Q91&amp;"|","|1-5 min|5-15 min|15-60 min|9:30-11:00|11:00-16:00|Not by 16:00|")=FIND("|"&amp;R91&amp;"|","|1-5 min|5-15 min|15-60 min|9:30-11:00|11:00-16:00|Not by 16:00|"),"Same window",IF(FIND("|"&amp;Q91&amp;"|","|1-5 min|5-15 min|15-60 min|9:30-11:00|11:00-16:00|Not by 16:00|")&lt;FIND("|"&amp;R91&amp;"|","|1-5 min|5-15 min|15-60 min|9:30-11:00|11:00-16:00|Not by 16:00|"),IF(E91="Up","High first (main side)",IF(E91="Down","High first (wick side)","High first")),IF(E91="Down","Low first (main side)",IF(E91="Up","Low first (wick side)","Low first"))))),"Check entries"))</f>
        <v/>
      </c>
      <c r="X91" s="28" t="n"/>
      <c r="Y91" s="27" t="n"/>
      <c r="Z91" s="27" t="n"/>
      <c r="AA91" s="27" t="n"/>
      <c r="AB91" s="27" t="n"/>
      <c r="AC91" s="27" t="n"/>
      <c r="AD91" s="27" t="n"/>
      <c r="AE91" s="28" t="n"/>
      <c r="AF91" s="30" t="n"/>
      <c r="AG91" s="27" t="n"/>
    </row>
    <row r="92">
      <c r="A92" s="25" t="n"/>
      <c r="B92" s="26">
        <f>IF(ISNUMBER(A92),TEXT(A92,"ddd"),"")</f>
        <v/>
      </c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8" t="n"/>
      <c r="M92" s="26">
        <f>IF(OR(L92="",AND(E92&lt;&gt;"Up",E92&lt;&gt;"Down")),"",IF(OR(L92="In line",L92="Mixed"),"Neutral data",IF(OR(AND(L92="Hotter",E92="Down"),AND(L92="Cooler",E92="Up")),"With data","Against data")))</f>
        <v/>
      </c>
      <c r="N92" s="28" t="n"/>
      <c r="O92" s="27" t="n"/>
      <c r="P92" s="27" t="n"/>
      <c r="Q92" s="28" t="n"/>
      <c r="R92" s="27" t="n"/>
      <c r="S92" s="29" t="n"/>
      <c r="T92" s="27" t="n"/>
      <c r="U92" s="27" t="n"/>
      <c r="V92" s="26">
        <f>IF(OR(AND(E92&lt;&gt;"Up",E92&lt;&gt;"Down"),NOT(ISNUMBER(S92)),IF(E92="Up",Q92,R92)=""),"",IF(S92&gt;=100,"Back to open",IF(OR(IF(E92="Up",Q92,R92)="1-5 min",IF(E92="Up",Q92,R92)="5-15 min"),"Continued",IF(S92&gt;=50,"Partial retrace","Stalled / chop"))))</f>
        <v/>
      </c>
      <c r="W92" s="26">
        <f>IF(OR(Q92="",R92=""),"",IFERROR(IF(AND(Q92="Not by 16:00",R92="Not by 16:00"),"Neither taken",IF(FIND("|"&amp;Q92&amp;"|","|1-5 min|5-15 min|15-60 min|9:30-11:00|11:00-16:00|Not by 16:00|")=FIND("|"&amp;R92&amp;"|","|1-5 min|5-15 min|15-60 min|9:30-11:00|11:00-16:00|Not by 16:00|"),"Same window",IF(FIND("|"&amp;Q92&amp;"|","|1-5 min|5-15 min|15-60 min|9:30-11:00|11:00-16:00|Not by 16:00|")&lt;FIND("|"&amp;R92&amp;"|","|1-5 min|5-15 min|15-60 min|9:30-11:00|11:00-16:00|Not by 16:00|"),IF(E92="Up","High first (main side)",IF(E92="Down","High first (wick side)","High first")),IF(E92="Down","Low first (main side)",IF(E92="Up","Low first (wick side)","Low first"))))),"Check entries"))</f>
        <v/>
      </c>
      <c r="X92" s="28" t="n"/>
      <c r="Y92" s="27" t="n"/>
      <c r="Z92" s="27" t="n"/>
      <c r="AA92" s="27" t="n"/>
      <c r="AB92" s="27" t="n"/>
      <c r="AC92" s="27" t="n"/>
      <c r="AD92" s="27" t="n"/>
      <c r="AE92" s="28" t="n"/>
      <c r="AF92" s="30" t="n"/>
      <c r="AG92" s="27" t="n"/>
    </row>
    <row r="93">
      <c r="A93" s="25" t="n"/>
      <c r="B93" s="26">
        <f>IF(ISNUMBER(A93),TEXT(A93,"ddd"),"")</f>
        <v/>
      </c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8" t="n"/>
      <c r="M93" s="26">
        <f>IF(OR(L93="",AND(E93&lt;&gt;"Up",E93&lt;&gt;"Down")),"",IF(OR(L93="In line",L93="Mixed"),"Neutral data",IF(OR(AND(L93="Hotter",E93="Down"),AND(L93="Cooler",E93="Up")),"With data","Against data")))</f>
        <v/>
      </c>
      <c r="N93" s="28" t="n"/>
      <c r="O93" s="27" t="n"/>
      <c r="P93" s="27" t="n"/>
      <c r="Q93" s="28" t="n"/>
      <c r="R93" s="27" t="n"/>
      <c r="S93" s="29" t="n"/>
      <c r="T93" s="27" t="n"/>
      <c r="U93" s="27" t="n"/>
      <c r="V93" s="26">
        <f>IF(OR(AND(E93&lt;&gt;"Up",E93&lt;&gt;"Down"),NOT(ISNUMBER(S93)),IF(E93="Up",Q93,R93)=""),"",IF(S93&gt;=100,"Back to open",IF(OR(IF(E93="Up",Q93,R93)="1-5 min",IF(E93="Up",Q93,R93)="5-15 min"),"Continued",IF(S93&gt;=50,"Partial retrace","Stalled / chop"))))</f>
        <v/>
      </c>
      <c r="W93" s="26">
        <f>IF(OR(Q93="",R93=""),"",IFERROR(IF(AND(Q93="Not by 16:00",R93="Not by 16:00"),"Neither taken",IF(FIND("|"&amp;Q93&amp;"|","|1-5 min|5-15 min|15-60 min|9:30-11:00|11:00-16:00|Not by 16:00|")=FIND("|"&amp;R93&amp;"|","|1-5 min|5-15 min|15-60 min|9:30-11:00|11:00-16:00|Not by 16:00|"),"Same window",IF(FIND("|"&amp;Q93&amp;"|","|1-5 min|5-15 min|15-60 min|9:30-11:00|11:00-16:00|Not by 16:00|")&lt;FIND("|"&amp;R93&amp;"|","|1-5 min|5-15 min|15-60 min|9:30-11:00|11:00-16:00|Not by 16:00|"),IF(E93="Up","High first (main side)",IF(E93="Down","High first (wick side)","High first")),IF(E93="Down","Low first (main side)",IF(E93="Up","Low first (wick side)","Low first"))))),"Check entries"))</f>
        <v/>
      </c>
      <c r="X93" s="28" t="n"/>
      <c r="Y93" s="27" t="n"/>
      <c r="Z93" s="27" t="n"/>
      <c r="AA93" s="27" t="n"/>
      <c r="AB93" s="27" t="n"/>
      <c r="AC93" s="27" t="n"/>
      <c r="AD93" s="27" t="n"/>
      <c r="AE93" s="28" t="n"/>
      <c r="AF93" s="30" t="n"/>
      <c r="AG93" s="27" t="n"/>
    </row>
    <row r="94">
      <c r="A94" s="25" t="n"/>
      <c r="B94" s="26">
        <f>IF(ISNUMBER(A94),TEXT(A94,"ddd"),"")</f>
        <v/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8" t="n"/>
      <c r="M94" s="26">
        <f>IF(OR(L94="",AND(E94&lt;&gt;"Up",E94&lt;&gt;"Down")),"",IF(OR(L94="In line",L94="Mixed"),"Neutral data",IF(OR(AND(L94="Hotter",E94="Down"),AND(L94="Cooler",E94="Up")),"With data","Against data")))</f>
        <v/>
      </c>
      <c r="N94" s="28" t="n"/>
      <c r="O94" s="27" t="n"/>
      <c r="P94" s="27" t="n"/>
      <c r="Q94" s="28" t="n"/>
      <c r="R94" s="27" t="n"/>
      <c r="S94" s="29" t="n"/>
      <c r="T94" s="27" t="n"/>
      <c r="U94" s="27" t="n"/>
      <c r="V94" s="26">
        <f>IF(OR(AND(E94&lt;&gt;"Up",E94&lt;&gt;"Down"),NOT(ISNUMBER(S94)),IF(E94="Up",Q94,R94)=""),"",IF(S94&gt;=100,"Back to open",IF(OR(IF(E94="Up",Q94,R94)="1-5 min",IF(E94="Up",Q94,R94)="5-15 min"),"Continued",IF(S94&gt;=50,"Partial retrace","Stalled / chop"))))</f>
        <v/>
      </c>
      <c r="W94" s="26">
        <f>IF(OR(Q94="",R94=""),"",IFERROR(IF(AND(Q94="Not by 16:00",R94="Not by 16:00"),"Neither taken",IF(FIND("|"&amp;Q94&amp;"|","|1-5 min|5-15 min|15-60 min|9:30-11:00|11:00-16:00|Not by 16:00|")=FIND("|"&amp;R94&amp;"|","|1-5 min|5-15 min|15-60 min|9:30-11:00|11:00-16:00|Not by 16:00|"),"Same window",IF(FIND("|"&amp;Q94&amp;"|","|1-5 min|5-15 min|15-60 min|9:30-11:00|11:00-16:00|Not by 16:00|")&lt;FIND("|"&amp;R94&amp;"|","|1-5 min|5-15 min|15-60 min|9:30-11:00|11:00-16:00|Not by 16:00|"),IF(E94="Up","High first (main side)",IF(E94="Down","High first (wick side)","High first")),IF(E94="Down","Low first (main side)",IF(E94="Up","Low first (wick side)","Low first"))))),"Check entries"))</f>
        <v/>
      </c>
      <c r="X94" s="28" t="n"/>
      <c r="Y94" s="27" t="n"/>
      <c r="Z94" s="27" t="n"/>
      <c r="AA94" s="27" t="n"/>
      <c r="AB94" s="27" t="n"/>
      <c r="AC94" s="27" t="n"/>
      <c r="AD94" s="27" t="n"/>
      <c r="AE94" s="28" t="n"/>
      <c r="AF94" s="30" t="n"/>
      <c r="AG94" s="27" t="n"/>
    </row>
    <row r="95">
      <c r="A95" s="25" t="n"/>
      <c r="B95" s="26">
        <f>IF(ISNUMBER(A95),TEXT(A95,"ddd"),"")</f>
        <v/>
      </c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8" t="n"/>
      <c r="M95" s="26">
        <f>IF(OR(L95="",AND(E95&lt;&gt;"Up",E95&lt;&gt;"Down")),"",IF(OR(L95="In line",L95="Mixed"),"Neutral data",IF(OR(AND(L95="Hotter",E95="Down"),AND(L95="Cooler",E95="Up")),"With data","Against data")))</f>
        <v/>
      </c>
      <c r="N95" s="28" t="n"/>
      <c r="O95" s="27" t="n"/>
      <c r="P95" s="27" t="n"/>
      <c r="Q95" s="28" t="n"/>
      <c r="R95" s="27" t="n"/>
      <c r="S95" s="29" t="n"/>
      <c r="T95" s="27" t="n"/>
      <c r="U95" s="27" t="n"/>
      <c r="V95" s="26">
        <f>IF(OR(AND(E95&lt;&gt;"Up",E95&lt;&gt;"Down"),NOT(ISNUMBER(S95)),IF(E95="Up",Q95,R95)=""),"",IF(S95&gt;=100,"Back to open",IF(OR(IF(E95="Up",Q95,R95)="1-5 min",IF(E95="Up",Q95,R95)="5-15 min"),"Continued",IF(S95&gt;=50,"Partial retrace","Stalled / chop"))))</f>
        <v/>
      </c>
      <c r="W95" s="26">
        <f>IF(OR(Q95="",R95=""),"",IFERROR(IF(AND(Q95="Not by 16:00",R95="Not by 16:00"),"Neither taken",IF(FIND("|"&amp;Q95&amp;"|","|1-5 min|5-15 min|15-60 min|9:30-11:00|11:00-16:00|Not by 16:00|")=FIND("|"&amp;R95&amp;"|","|1-5 min|5-15 min|15-60 min|9:30-11:00|11:00-16:00|Not by 16:00|"),"Same window",IF(FIND("|"&amp;Q95&amp;"|","|1-5 min|5-15 min|15-60 min|9:30-11:00|11:00-16:00|Not by 16:00|")&lt;FIND("|"&amp;R95&amp;"|","|1-5 min|5-15 min|15-60 min|9:30-11:00|11:00-16:00|Not by 16:00|"),IF(E95="Up","High first (main side)",IF(E95="Down","High first (wick side)","High first")),IF(E95="Down","Low first (main side)",IF(E95="Up","Low first (wick side)","Low first"))))),"Check entries"))</f>
        <v/>
      </c>
      <c r="X95" s="28" t="n"/>
      <c r="Y95" s="27" t="n"/>
      <c r="Z95" s="27" t="n"/>
      <c r="AA95" s="27" t="n"/>
      <c r="AB95" s="27" t="n"/>
      <c r="AC95" s="27" t="n"/>
      <c r="AD95" s="27" t="n"/>
      <c r="AE95" s="28" t="n"/>
      <c r="AF95" s="30" t="n"/>
      <c r="AG95" s="27" t="n"/>
    </row>
    <row r="96">
      <c r="A96" s="25" t="n"/>
      <c r="B96" s="26">
        <f>IF(ISNUMBER(A96),TEXT(A96,"ddd"),"")</f>
        <v/>
      </c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8" t="n"/>
      <c r="M96" s="26">
        <f>IF(OR(L96="",AND(E96&lt;&gt;"Up",E96&lt;&gt;"Down")),"",IF(OR(L96="In line",L96="Mixed"),"Neutral data",IF(OR(AND(L96="Hotter",E96="Down"),AND(L96="Cooler",E96="Up")),"With data","Against data")))</f>
        <v/>
      </c>
      <c r="N96" s="28" t="n"/>
      <c r="O96" s="27" t="n"/>
      <c r="P96" s="27" t="n"/>
      <c r="Q96" s="28" t="n"/>
      <c r="R96" s="27" t="n"/>
      <c r="S96" s="29" t="n"/>
      <c r="T96" s="27" t="n"/>
      <c r="U96" s="27" t="n"/>
      <c r="V96" s="26">
        <f>IF(OR(AND(E96&lt;&gt;"Up",E96&lt;&gt;"Down"),NOT(ISNUMBER(S96)),IF(E96="Up",Q96,R96)=""),"",IF(S96&gt;=100,"Back to open",IF(OR(IF(E96="Up",Q96,R96)="1-5 min",IF(E96="Up",Q96,R96)="5-15 min"),"Continued",IF(S96&gt;=50,"Partial retrace","Stalled / chop"))))</f>
        <v/>
      </c>
      <c r="W96" s="26">
        <f>IF(OR(Q96="",R96=""),"",IFERROR(IF(AND(Q96="Not by 16:00",R96="Not by 16:00"),"Neither taken",IF(FIND("|"&amp;Q96&amp;"|","|1-5 min|5-15 min|15-60 min|9:30-11:00|11:00-16:00|Not by 16:00|")=FIND("|"&amp;R96&amp;"|","|1-5 min|5-15 min|15-60 min|9:30-11:00|11:00-16:00|Not by 16:00|"),"Same window",IF(FIND("|"&amp;Q96&amp;"|","|1-5 min|5-15 min|15-60 min|9:30-11:00|11:00-16:00|Not by 16:00|")&lt;FIND("|"&amp;R96&amp;"|","|1-5 min|5-15 min|15-60 min|9:30-11:00|11:00-16:00|Not by 16:00|"),IF(E96="Up","High first (main side)",IF(E96="Down","High first (wick side)","High first")),IF(E96="Down","Low first (main side)",IF(E96="Up","Low first (wick side)","Low first"))))),"Check entries"))</f>
        <v/>
      </c>
      <c r="X96" s="28" t="n"/>
      <c r="Y96" s="27" t="n"/>
      <c r="Z96" s="27" t="n"/>
      <c r="AA96" s="27" t="n"/>
      <c r="AB96" s="27" t="n"/>
      <c r="AC96" s="27" t="n"/>
      <c r="AD96" s="27" t="n"/>
      <c r="AE96" s="28" t="n"/>
      <c r="AF96" s="30" t="n"/>
      <c r="AG96" s="27" t="n"/>
    </row>
    <row r="97">
      <c r="A97" s="25" t="n"/>
      <c r="B97" s="26">
        <f>IF(ISNUMBER(A97),TEXT(A97,"ddd"),"")</f>
        <v/>
      </c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8" t="n"/>
      <c r="M97" s="26">
        <f>IF(OR(L97="",AND(E97&lt;&gt;"Up",E97&lt;&gt;"Down")),"",IF(OR(L97="In line",L97="Mixed"),"Neutral data",IF(OR(AND(L97="Hotter",E97="Down"),AND(L97="Cooler",E97="Up")),"With data","Against data")))</f>
        <v/>
      </c>
      <c r="N97" s="28" t="n"/>
      <c r="O97" s="27" t="n"/>
      <c r="P97" s="27" t="n"/>
      <c r="Q97" s="28" t="n"/>
      <c r="R97" s="27" t="n"/>
      <c r="S97" s="29" t="n"/>
      <c r="T97" s="27" t="n"/>
      <c r="U97" s="27" t="n"/>
      <c r="V97" s="26">
        <f>IF(OR(AND(E97&lt;&gt;"Up",E97&lt;&gt;"Down"),NOT(ISNUMBER(S97)),IF(E97="Up",Q97,R97)=""),"",IF(S97&gt;=100,"Back to open",IF(OR(IF(E97="Up",Q97,R97)="1-5 min",IF(E97="Up",Q97,R97)="5-15 min"),"Continued",IF(S97&gt;=50,"Partial retrace","Stalled / chop"))))</f>
        <v/>
      </c>
      <c r="W97" s="26">
        <f>IF(OR(Q97="",R97=""),"",IFERROR(IF(AND(Q97="Not by 16:00",R97="Not by 16:00"),"Neither taken",IF(FIND("|"&amp;Q97&amp;"|","|1-5 min|5-15 min|15-60 min|9:30-11:00|11:00-16:00|Not by 16:00|")=FIND("|"&amp;R97&amp;"|","|1-5 min|5-15 min|15-60 min|9:30-11:00|11:00-16:00|Not by 16:00|"),"Same window",IF(FIND("|"&amp;Q97&amp;"|","|1-5 min|5-15 min|15-60 min|9:30-11:00|11:00-16:00|Not by 16:00|")&lt;FIND("|"&amp;R97&amp;"|","|1-5 min|5-15 min|15-60 min|9:30-11:00|11:00-16:00|Not by 16:00|"),IF(E97="Up","High first (main side)",IF(E97="Down","High first (wick side)","High first")),IF(E97="Down","Low first (main side)",IF(E97="Up","Low first (wick side)","Low first"))))),"Check entries"))</f>
        <v/>
      </c>
      <c r="X97" s="28" t="n"/>
      <c r="Y97" s="27" t="n"/>
      <c r="Z97" s="27" t="n"/>
      <c r="AA97" s="27" t="n"/>
      <c r="AB97" s="27" t="n"/>
      <c r="AC97" s="27" t="n"/>
      <c r="AD97" s="27" t="n"/>
      <c r="AE97" s="28" t="n"/>
      <c r="AF97" s="30" t="n"/>
      <c r="AG97" s="27" t="n"/>
    </row>
    <row r="98">
      <c r="A98" s="25" t="n"/>
      <c r="B98" s="26">
        <f>IF(ISNUMBER(A98),TEXT(A98,"ddd"),"")</f>
        <v/>
      </c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8" t="n"/>
      <c r="M98" s="26">
        <f>IF(OR(L98="",AND(E98&lt;&gt;"Up",E98&lt;&gt;"Down")),"",IF(OR(L98="In line",L98="Mixed"),"Neutral data",IF(OR(AND(L98="Hotter",E98="Down"),AND(L98="Cooler",E98="Up")),"With data","Against data")))</f>
        <v/>
      </c>
      <c r="N98" s="28" t="n"/>
      <c r="O98" s="27" t="n"/>
      <c r="P98" s="27" t="n"/>
      <c r="Q98" s="28" t="n"/>
      <c r="R98" s="27" t="n"/>
      <c r="S98" s="29" t="n"/>
      <c r="T98" s="27" t="n"/>
      <c r="U98" s="27" t="n"/>
      <c r="V98" s="26">
        <f>IF(OR(AND(E98&lt;&gt;"Up",E98&lt;&gt;"Down"),NOT(ISNUMBER(S98)),IF(E98="Up",Q98,R98)=""),"",IF(S98&gt;=100,"Back to open",IF(OR(IF(E98="Up",Q98,R98)="1-5 min",IF(E98="Up",Q98,R98)="5-15 min"),"Continued",IF(S98&gt;=50,"Partial retrace","Stalled / chop"))))</f>
        <v/>
      </c>
      <c r="W98" s="26">
        <f>IF(OR(Q98="",R98=""),"",IFERROR(IF(AND(Q98="Not by 16:00",R98="Not by 16:00"),"Neither taken",IF(FIND("|"&amp;Q98&amp;"|","|1-5 min|5-15 min|15-60 min|9:30-11:00|11:00-16:00|Not by 16:00|")=FIND("|"&amp;R98&amp;"|","|1-5 min|5-15 min|15-60 min|9:30-11:00|11:00-16:00|Not by 16:00|"),"Same window",IF(FIND("|"&amp;Q98&amp;"|","|1-5 min|5-15 min|15-60 min|9:30-11:00|11:00-16:00|Not by 16:00|")&lt;FIND("|"&amp;R98&amp;"|","|1-5 min|5-15 min|15-60 min|9:30-11:00|11:00-16:00|Not by 16:00|"),IF(E98="Up","High first (main side)",IF(E98="Down","High first (wick side)","High first")),IF(E98="Down","Low first (main side)",IF(E98="Up","Low first (wick side)","Low first"))))),"Check entries"))</f>
        <v/>
      </c>
      <c r="X98" s="28" t="n"/>
      <c r="Y98" s="27" t="n"/>
      <c r="Z98" s="27" t="n"/>
      <c r="AA98" s="27" t="n"/>
      <c r="AB98" s="27" t="n"/>
      <c r="AC98" s="27" t="n"/>
      <c r="AD98" s="27" t="n"/>
      <c r="AE98" s="28" t="n"/>
      <c r="AF98" s="30" t="n"/>
      <c r="AG98" s="27" t="n"/>
    </row>
    <row r="99">
      <c r="A99" s="25" t="n"/>
      <c r="B99" s="26">
        <f>IF(ISNUMBER(A99),TEXT(A99,"ddd"),"")</f>
        <v/>
      </c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  <c r="M99" s="26">
        <f>IF(OR(L99="",AND(E99&lt;&gt;"Up",E99&lt;&gt;"Down")),"",IF(OR(L99="In line",L99="Mixed"),"Neutral data",IF(OR(AND(L99="Hotter",E99="Down"),AND(L99="Cooler",E99="Up")),"With data","Against data")))</f>
        <v/>
      </c>
      <c r="N99" s="28" t="n"/>
      <c r="O99" s="27" t="n"/>
      <c r="P99" s="27" t="n"/>
      <c r="Q99" s="28" t="n"/>
      <c r="R99" s="27" t="n"/>
      <c r="S99" s="29" t="n"/>
      <c r="T99" s="27" t="n"/>
      <c r="U99" s="27" t="n"/>
      <c r="V99" s="26">
        <f>IF(OR(AND(E99&lt;&gt;"Up",E99&lt;&gt;"Down"),NOT(ISNUMBER(S99)),IF(E99="Up",Q99,R99)=""),"",IF(S99&gt;=100,"Back to open",IF(OR(IF(E99="Up",Q99,R99)="1-5 min",IF(E99="Up",Q99,R99)="5-15 min"),"Continued",IF(S99&gt;=50,"Partial retrace","Stalled / chop"))))</f>
        <v/>
      </c>
      <c r="W99" s="26">
        <f>IF(OR(Q99="",R99=""),"",IFERROR(IF(AND(Q99="Not by 16:00",R99="Not by 16:00"),"Neither taken",IF(FIND("|"&amp;Q99&amp;"|","|1-5 min|5-15 min|15-60 min|9:30-11:00|11:00-16:00|Not by 16:00|")=FIND("|"&amp;R99&amp;"|","|1-5 min|5-15 min|15-60 min|9:30-11:00|11:00-16:00|Not by 16:00|"),"Same window",IF(FIND("|"&amp;Q99&amp;"|","|1-5 min|5-15 min|15-60 min|9:30-11:00|11:00-16:00|Not by 16:00|")&lt;FIND("|"&amp;R99&amp;"|","|1-5 min|5-15 min|15-60 min|9:30-11:00|11:00-16:00|Not by 16:00|"),IF(E99="Up","High first (main side)",IF(E99="Down","High first (wick side)","High first")),IF(E99="Down","Low first (main side)",IF(E99="Up","Low first (wick side)","Low first"))))),"Check entries"))</f>
        <v/>
      </c>
      <c r="X99" s="28" t="n"/>
      <c r="Y99" s="27" t="n"/>
      <c r="Z99" s="27" t="n"/>
      <c r="AA99" s="27" t="n"/>
      <c r="AB99" s="27" t="n"/>
      <c r="AC99" s="27" t="n"/>
      <c r="AD99" s="27" t="n"/>
      <c r="AE99" s="28" t="n"/>
      <c r="AF99" s="30" t="n"/>
      <c r="AG99" s="27" t="n"/>
    </row>
    <row r="100">
      <c r="A100" s="25" t="n"/>
      <c r="B100" s="26">
        <f>IF(ISNUMBER(A100),TEXT(A100,"ddd"),"")</f>
        <v/>
      </c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8" t="n"/>
      <c r="M100" s="26">
        <f>IF(OR(L100="",AND(E100&lt;&gt;"Up",E100&lt;&gt;"Down")),"",IF(OR(L100="In line",L100="Mixed"),"Neutral data",IF(OR(AND(L100="Hotter",E100="Down"),AND(L100="Cooler",E100="Up")),"With data","Against data")))</f>
        <v/>
      </c>
      <c r="N100" s="28" t="n"/>
      <c r="O100" s="27" t="n"/>
      <c r="P100" s="27" t="n"/>
      <c r="Q100" s="28" t="n"/>
      <c r="R100" s="27" t="n"/>
      <c r="S100" s="29" t="n"/>
      <c r="T100" s="27" t="n"/>
      <c r="U100" s="27" t="n"/>
      <c r="V100" s="26">
        <f>IF(OR(AND(E100&lt;&gt;"Up",E100&lt;&gt;"Down"),NOT(ISNUMBER(S100)),IF(E100="Up",Q100,R100)=""),"",IF(S100&gt;=100,"Back to open",IF(OR(IF(E100="Up",Q100,R100)="1-5 min",IF(E100="Up",Q100,R100)="5-15 min"),"Continued",IF(S100&gt;=50,"Partial retrace","Stalled / chop"))))</f>
        <v/>
      </c>
      <c r="W100" s="26">
        <f>IF(OR(Q100="",R100=""),"",IFERROR(IF(AND(Q100="Not by 16:00",R100="Not by 16:00"),"Neither taken",IF(FIND("|"&amp;Q100&amp;"|","|1-5 min|5-15 min|15-60 min|9:30-11:00|11:00-16:00|Not by 16:00|")=FIND("|"&amp;R100&amp;"|","|1-5 min|5-15 min|15-60 min|9:30-11:00|11:00-16:00|Not by 16:00|"),"Same window",IF(FIND("|"&amp;Q100&amp;"|","|1-5 min|5-15 min|15-60 min|9:30-11:00|11:00-16:00|Not by 16:00|")&lt;FIND("|"&amp;R100&amp;"|","|1-5 min|5-15 min|15-60 min|9:30-11:00|11:00-16:00|Not by 16:00|"),IF(E100="Up","High first (main side)",IF(E100="Down","High first (wick side)","High first")),IF(E100="Down","Low first (main side)",IF(E100="Up","Low first (wick side)","Low first"))))),"Check entries"))</f>
        <v/>
      </c>
      <c r="X100" s="28" t="n"/>
      <c r="Y100" s="27" t="n"/>
      <c r="Z100" s="27" t="n"/>
      <c r="AA100" s="27" t="n"/>
      <c r="AB100" s="27" t="n"/>
      <c r="AC100" s="27" t="n"/>
      <c r="AD100" s="27" t="n"/>
      <c r="AE100" s="28" t="n"/>
      <c r="AF100" s="30" t="n"/>
      <c r="AG100" s="27" t="n"/>
    </row>
    <row r="101">
      <c r="A101" s="25" t="n"/>
      <c r="B101" s="26">
        <f>IF(ISNUMBER(A101),TEXT(A101,"ddd"),"")</f>
        <v/>
      </c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  <c r="M101" s="26">
        <f>IF(OR(L101="",AND(E101&lt;&gt;"Up",E101&lt;&gt;"Down")),"",IF(OR(L101="In line",L101="Mixed"),"Neutral data",IF(OR(AND(L101="Hotter",E101="Down"),AND(L101="Cooler",E101="Up")),"With data","Against data")))</f>
        <v/>
      </c>
      <c r="N101" s="28" t="n"/>
      <c r="O101" s="27" t="n"/>
      <c r="P101" s="27" t="n"/>
      <c r="Q101" s="28" t="n"/>
      <c r="R101" s="27" t="n"/>
      <c r="S101" s="29" t="n"/>
      <c r="T101" s="27" t="n"/>
      <c r="U101" s="27" t="n"/>
      <c r="V101" s="26">
        <f>IF(OR(AND(E101&lt;&gt;"Up",E101&lt;&gt;"Down"),NOT(ISNUMBER(S101)),IF(E101="Up",Q101,R101)=""),"",IF(S101&gt;=100,"Back to open",IF(OR(IF(E101="Up",Q101,R101)="1-5 min",IF(E101="Up",Q101,R101)="5-15 min"),"Continued",IF(S101&gt;=50,"Partial retrace","Stalled / chop"))))</f>
        <v/>
      </c>
      <c r="W101" s="26">
        <f>IF(OR(Q101="",R101=""),"",IFERROR(IF(AND(Q101="Not by 16:00",R101="Not by 16:00"),"Neither taken",IF(FIND("|"&amp;Q101&amp;"|","|1-5 min|5-15 min|15-60 min|9:30-11:00|11:00-16:00|Not by 16:00|")=FIND("|"&amp;R101&amp;"|","|1-5 min|5-15 min|15-60 min|9:30-11:00|11:00-16:00|Not by 16:00|"),"Same window",IF(FIND("|"&amp;Q101&amp;"|","|1-5 min|5-15 min|15-60 min|9:30-11:00|11:00-16:00|Not by 16:00|")&lt;FIND("|"&amp;R101&amp;"|","|1-5 min|5-15 min|15-60 min|9:30-11:00|11:00-16:00|Not by 16:00|"),IF(E101="Up","High first (main side)",IF(E101="Down","High first (wick side)","High first")),IF(E101="Down","Low first (main side)",IF(E101="Up","Low first (wick side)","Low first"))))),"Check entries"))</f>
        <v/>
      </c>
      <c r="X101" s="28" t="n"/>
      <c r="Y101" s="27" t="n"/>
      <c r="Z101" s="27" t="n"/>
      <c r="AA101" s="27" t="n"/>
      <c r="AB101" s="27" t="n"/>
      <c r="AC101" s="27" t="n"/>
      <c r="AD101" s="27" t="n"/>
      <c r="AE101" s="28" t="n"/>
      <c r="AF101" s="30" t="n"/>
      <c r="AG101" s="27" t="n"/>
    </row>
    <row r="102">
      <c r="A102" s="25" t="n"/>
      <c r="B102" s="26">
        <f>IF(ISNUMBER(A102),TEXT(A102,"ddd"),"")</f>
        <v/>
      </c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8" t="n"/>
      <c r="M102" s="26">
        <f>IF(OR(L102="",AND(E102&lt;&gt;"Up",E102&lt;&gt;"Down")),"",IF(OR(L102="In line",L102="Mixed"),"Neutral data",IF(OR(AND(L102="Hotter",E102="Down"),AND(L102="Cooler",E102="Up")),"With data","Against data")))</f>
        <v/>
      </c>
      <c r="N102" s="28" t="n"/>
      <c r="O102" s="27" t="n"/>
      <c r="P102" s="27" t="n"/>
      <c r="Q102" s="28" t="n"/>
      <c r="R102" s="27" t="n"/>
      <c r="S102" s="29" t="n"/>
      <c r="T102" s="27" t="n"/>
      <c r="U102" s="27" t="n"/>
      <c r="V102" s="26">
        <f>IF(OR(AND(E102&lt;&gt;"Up",E102&lt;&gt;"Down"),NOT(ISNUMBER(S102)),IF(E102="Up",Q102,R102)=""),"",IF(S102&gt;=100,"Back to open",IF(OR(IF(E102="Up",Q102,R102)="1-5 min",IF(E102="Up",Q102,R102)="5-15 min"),"Continued",IF(S102&gt;=50,"Partial retrace","Stalled / chop"))))</f>
        <v/>
      </c>
      <c r="W102" s="26">
        <f>IF(OR(Q102="",R102=""),"",IFERROR(IF(AND(Q102="Not by 16:00",R102="Not by 16:00"),"Neither taken",IF(FIND("|"&amp;Q102&amp;"|","|1-5 min|5-15 min|15-60 min|9:30-11:00|11:00-16:00|Not by 16:00|")=FIND("|"&amp;R102&amp;"|","|1-5 min|5-15 min|15-60 min|9:30-11:00|11:00-16:00|Not by 16:00|"),"Same window",IF(FIND("|"&amp;Q102&amp;"|","|1-5 min|5-15 min|15-60 min|9:30-11:00|11:00-16:00|Not by 16:00|")&lt;FIND("|"&amp;R102&amp;"|","|1-5 min|5-15 min|15-60 min|9:30-11:00|11:00-16:00|Not by 16:00|"),IF(E102="Up","High first (main side)",IF(E102="Down","High first (wick side)","High first")),IF(E102="Down","Low first (main side)",IF(E102="Up","Low first (wick side)","Low first"))))),"Check entries"))</f>
        <v/>
      </c>
      <c r="X102" s="28" t="n"/>
      <c r="Y102" s="27" t="n"/>
      <c r="Z102" s="27" t="n"/>
      <c r="AA102" s="27" t="n"/>
      <c r="AB102" s="27" t="n"/>
      <c r="AC102" s="27" t="n"/>
      <c r="AD102" s="27" t="n"/>
      <c r="AE102" s="28" t="n"/>
      <c r="AF102" s="30" t="n"/>
      <c r="AG102" s="27" t="n"/>
    </row>
    <row r="103">
      <c r="A103" s="25" t="n"/>
      <c r="B103" s="26">
        <f>IF(ISNUMBER(A103),TEXT(A103,"ddd"),"")</f>
        <v/>
      </c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  <c r="M103" s="26">
        <f>IF(OR(L103="",AND(E103&lt;&gt;"Up",E103&lt;&gt;"Down")),"",IF(OR(L103="In line",L103="Mixed"),"Neutral data",IF(OR(AND(L103="Hotter",E103="Down"),AND(L103="Cooler",E103="Up")),"With data","Against data")))</f>
        <v/>
      </c>
      <c r="N103" s="28" t="n"/>
      <c r="O103" s="27" t="n"/>
      <c r="P103" s="27" t="n"/>
      <c r="Q103" s="28" t="n"/>
      <c r="R103" s="27" t="n"/>
      <c r="S103" s="29" t="n"/>
      <c r="T103" s="27" t="n"/>
      <c r="U103" s="27" t="n"/>
      <c r="V103" s="26">
        <f>IF(OR(AND(E103&lt;&gt;"Up",E103&lt;&gt;"Down"),NOT(ISNUMBER(S103)),IF(E103="Up",Q103,R103)=""),"",IF(S103&gt;=100,"Back to open",IF(OR(IF(E103="Up",Q103,R103)="1-5 min",IF(E103="Up",Q103,R103)="5-15 min"),"Continued",IF(S103&gt;=50,"Partial retrace","Stalled / chop"))))</f>
        <v/>
      </c>
      <c r="W103" s="26">
        <f>IF(OR(Q103="",R103=""),"",IFERROR(IF(AND(Q103="Not by 16:00",R103="Not by 16:00"),"Neither taken",IF(FIND("|"&amp;Q103&amp;"|","|1-5 min|5-15 min|15-60 min|9:30-11:00|11:00-16:00|Not by 16:00|")=FIND("|"&amp;R103&amp;"|","|1-5 min|5-15 min|15-60 min|9:30-11:00|11:00-16:00|Not by 16:00|"),"Same window",IF(FIND("|"&amp;Q103&amp;"|","|1-5 min|5-15 min|15-60 min|9:30-11:00|11:00-16:00|Not by 16:00|")&lt;FIND("|"&amp;R103&amp;"|","|1-5 min|5-15 min|15-60 min|9:30-11:00|11:00-16:00|Not by 16:00|"),IF(E103="Up","High first (main side)",IF(E103="Down","High first (wick side)","High first")),IF(E103="Down","Low first (main side)",IF(E103="Up","Low first (wick side)","Low first"))))),"Check entries"))</f>
        <v/>
      </c>
      <c r="X103" s="28" t="n"/>
      <c r="Y103" s="27" t="n"/>
      <c r="Z103" s="27" t="n"/>
      <c r="AA103" s="27" t="n"/>
      <c r="AB103" s="27" t="n"/>
      <c r="AC103" s="27" t="n"/>
      <c r="AD103" s="27" t="n"/>
      <c r="AE103" s="28" t="n"/>
      <c r="AF103" s="30" t="n"/>
      <c r="AG103" s="27" t="n"/>
    </row>
    <row r="104">
      <c r="A104" s="25" t="n"/>
      <c r="B104" s="26">
        <f>IF(ISNUMBER(A104),TEXT(A104,"ddd"),"")</f>
        <v/>
      </c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8" t="n"/>
      <c r="M104" s="26">
        <f>IF(OR(L104="",AND(E104&lt;&gt;"Up",E104&lt;&gt;"Down")),"",IF(OR(L104="In line",L104="Mixed"),"Neutral data",IF(OR(AND(L104="Hotter",E104="Down"),AND(L104="Cooler",E104="Up")),"With data","Against data")))</f>
        <v/>
      </c>
      <c r="N104" s="28" t="n"/>
      <c r="O104" s="27" t="n"/>
      <c r="P104" s="27" t="n"/>
      <c r="Q104" s="28" t="n"/>
      <c r="R104" s="27" t="n"/>
      <c r="S104" s="29" t="n"/>
      <c r="T104" s="27" t="n"/>
      <c r="U104" s="27" t="n"/>
      <c r="V104" s="26">
        <f>IF(OR(AND(E104&lt;&gt;"Up",E104&lt;&gt;"Down"),NOT(ISNUMBER(S104)),IF(E104="Up",Q104,R104)=""),"",IF(S104&gt;=100,"Back to open",IF(OR(IF(E104="Up",Q104,R104)="1-5 min",IF(E104="Up",Q104,R104)="5-15 min"),"Continued",IF(S104&gt;=50,"Partial retrace","Stalled / chop"))))</f>
        <v/>
      </c>
      <c r="W104" s="26">
        <f>IF(OR(Q104="",R104=""),"",IFERROR(IF(AND(Q104="Not by 16:00",R104="Not by 16:00"),"Neither taken",IF(FIND("|"&amp;Q104&amp;"|","|1-5 min|5-15 min|15-60 min|9:30-11:00|11:00-16:00|Not by 16:00|")=FIND("|"&amp;R104&amp;"|","|1-5 min|5-15 min|15-60 min|9:30-11:00|11:00-16:00|Not by 16:00|"),"Same window",IF(FIND("|"&amp;Q104&amp;"|","|1-5 min|5-15 min|15-60 min|9:30-11:00|11:00-16:00|Not by 16:00|")&lt;FIND("|"&amp;R104&amp;"|","|1-5 min|5-15 min|15-60 min|9:30-11:00|11:00-16:00|Not by 16:00|"),IF(E104="Up","High first (main side)",IF(E104="Down","High first (wick side)","High first")),IF(E104="Down","Low first (main side)",IF(E104="Up","Low first (wick side)","Low first"))))),"Check entries"))</f>
        <v/>
      </c>
      <c r="X104" s="28" t="n"/>
      <c r="Y104" s="27" t="n"/>
      <c r="Z104" s="27" t="n"/>
      <c r="AA104" s="27" t="n"/>
      <c r="AB104" s="27" t="n"/>
      <c r="AC104" s="27" t="n"/>
      <c r="AD104" s="27" t="n"/>
      <c r="AE104" s="28" t="n"/>
      <c r="AF104" s="30" t="n"/>
      <c r="AG104" s="27" t="n"/>
    </row>
    <row r="105">
      <c r="A105" s="25" t="n"/>
      <c r="B105" s="26">
        <f>IF(ISNUMBER(A105),TEXT(A105,"ddd"),"")</f>
        <v/>
      </c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  <c r="M105" s="26">
        <f>IF(OR(L105="",AND(E105&lt;&gt;"Up",E105&lt;&gt;"Down")),"",IF(OR(L105="In line",L105="Mixed"),"Neutral data",IF(OR(AND(L105="Hotter",E105="Down"),AND(L105="Cooler",E105="Up")),"With data","Against data")))</f>
        <v/>
      </c>
      <c r="N105" s="28" t="n"/>
      <c r="O105" s="27" t="n"/>
      <c r="P105" s="27" t="n"/>
      <c r="Q105" s="28" t="n"/>
      <c r="R105" s="27" t="n"/>
      <c r="S105" s="29" t="n"/>
      <c r="T105" s="27" t="n"/>
      <c r="U105" s="27" t="n"/>
      <c r="V105" s="26">
        <f>IF(OR(AND(E105&lt;&gt;"Up",E105&lt;&gt;"Down"),NOT(ISNUMBER(S105)),IF(E105="Up",Q105,R105)=""),"",IF(S105&gt;=100,"Back to open",IF(OR(IF(E105="Up",Q105,R105)="1-5 min",IF(E105="Up",Q105,R105)="5-15 min"),"Continued",IF(S105&gt;=50,"Partial retrace","Stalled / chop"))))</f>
        <v/>
      </c>
      <c r="W105" s="26">
        <f>IF(OR(Q105="",R105=""),"",IFERROR(IF(AND(Q105="Not by 16:00",R105="Not by 16:00"),"Neither taken",IF(FIND("|"&amp;Q105&amp;"|","|1-5 min|5-15 min|15-60 min|9:30-11:00|11:00-16:00|Not by 16:00|")=FIND("|"&amp;R105&amp;"|","|1-5 min|5-15 min|15-60 min|9:30-11:00|11:00-16:00|Not by 16:00|"),"Same window",IF(FIND("|"&amp;Q105&amp;"|","|1-5 min|5-15 min|15-60 min|9:30-11:00|11:00-16:00|Not by 16:00|")&lt;FIND("|"&amp;R105&amp;"|","|1-5 min|5-15 min|15-60 min|9:30-11:00|11:00-16:00|Not by 16:00|"),IF(E105="Up","High first (main side)",IF(E105="Down","High first (wick side)","High first")),IF(E105="Down","Low first (main side)",IF(E105="Up","Low first (wick side)","Low first"))))),"Check entries"))</f>
        <v/>
      </c>
      <c r="X105" s="28" t="n"/>
      <c r="Y105" s="27" t="n"/>
      <c r="Z105" s="27" t="n"/>
      <c r="AA105" s="27" t="n"/>
      <c r="AB105" s="27" t="n"/>
      <c r="AC105" s="27" t="n"/>
      <c r="AD105" s="27" t="n"/>
      <c r="AE105" s="28" t="n"/>
      <c r="AF105" s="30" t="n"/>
      <c r="AG105" s="27" t="n"/>
    </row>
    <row r="106">
      <c r="A106" s="25" t="n"/>
      <c r="B106" s="26">
        <f>IF(ISNUMBER(A106),TEXT(A106,"ddd"),"")</f>
        <v/>
      </c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8" t="n"/>
      <c r="M106" s="26">
        <f>IF(OR(L106="",AND(E106&lt;&gt;"Up",E106&lt;&gt;"Down")),"",IF(OR(L106="In line",L106="Mixed"),"Neutral data",IF(OR(AND(L106="Hotter",E106="Down"),AND(L106="Cooler",E106="Up")),"With data","Against data")))</f>
        <v/>
      </c>
      <c r="N106" s="28" t="n"/>
      <c r="O106" s="27" t="n"/>
      <c r="P106" s="27" t="n"/>
      <c r="Q106" s="28" t="n"/>
      <c r="R106" s="27" t="n"/>
      <c r="S106" s="29" t="n"/>
      <c r="T106" s="27" t="n"/>
      <c r="U106" s="27" t="n"/>
      <c r="V106" s="26">
        <f>IF(OR(AND(E106&lt;&gt;"Up",E106&lt;&gt;"Down"),NOT(ISNUMBER(S106)),IF(E106="Up",Q106,R106)=""),"",IF(S106&gt;=100,"Back to open",IF(OR(IF(E106="Up",Q106,R106)="1-5 min",IF(E106="Up",Q106,R106)="5-15 min"),"Continued",IF(S106&gt;=50,"Partial retrace","Stalled / chop"))))</f>
        <v/>
      </c>
      <c r="W106" s="26">
        <f>IF(OR(Q106="",R106=""),"",IFERROR(IF(AND(Q106="Not by 16:00",R106="Not by 16:00"),"Neither taken",IF(FIND("|"&amp;Q106&amp;"|","|1-5 min|5-15 min|15-60 min|9:30-11:00|11:00-16:00|Not by 16:00|")=FIND("|"&amp;R106&amp;"|","|1-5 min|5-15 min|15-60 min|9:30-11:00|11:00-16:00|Not by 16:00|"),"Same window",IF(FIND("|"&amp;Q106&amp;"|","|1-5 min|5-15 min|15-60 min|9:30-11:00|11:00-16:00|Not by 16:00|")&lt;FIND("|"&amp;R106&amp;"|","|1-5 min|5-15 min|15-60 min|9:30-11:00|11:00-16:00|Not by 16:00|"),IF(E106="Up","High first (main side)",IF(E106="Down","High first (wick side)","High first")),IF(E106="Down","Low first (main side)",IF(E106="Up","Low first (wick side)","Low first"))))),"Check entries"))</f>
        <v/>
      </c>
      <c r="X106" s="28" t="n"/>
      <c r="Y106" s="27" t="n"/>
      <c r="Z106" s="27" t="n"/>
      <c r="AA106" s="27" t="n"/>
      <c r="AB106" s="27" t="n"/>
      <c r="AC106" s="27" t="n"/>
      <c r="AD106" s="27" t="n"/>
      <c r="AE106" s="28" t="n"/>
      <c r="AF106" s="30" t="n"/>
      <c r="AG106" s="27" t="n"/>
    </row>
    <row r="107">
      <c r="A107" s="25" t="n"/>
      <c r="B107" s="26">
        <f>IF(ISNUMBER(A107),TEXT(A107,"ddd"),"")</f>
        <v/>
      </c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  <c r="M107" s="26">
        <f>IF(OR(L107="",AND(E107&lt;&gt;"Up",E107&lt;&gt;"Down")),"",IF(OR(L107="In line",L107="Mixed"),"Neutral data",IF(OR(AND(L107="Hotter",E107="Down"),AND(L107="Cooler",E107="Up")),"With data","Against data")))</f>
        <v/>
      </c>
      <c r="N107" s="28" t="n"/>
      <c r="O107" s="27" t="n"/>
      <c r="P107" s="27" t="n"/>
      <c r="Q107" s="28" t="n"/>
      <c r="R107" s="27" t="n"/>
      <c r="S107" s="29" t="n"/>
      <c r="T107" s="27" t="n"/>
      <c r="U107" s="27" t="n"/>
      <c r="V107" s="26">
        <f>IF(OR(AND(E107&lt;&gt;"Up",E107&lt;&gt;"Down"),NOT(ISNUMBER(S107)),IF(E107="Up",Q107,R107)=""),"",IF(S107&gt;=100,"Back to open",IF(OR(IF(E107="Up",Q107,R107)="1-5 min",IF(E107="Up",Q107,R107)="5-15 min"),"Continued",IF(S107&gt;=50,"Partial retrace","Stalled / chop"))))</f>
        <v/>
      </c>
      <c r="W107" s="26">
        <f>IF(OR(Q107="",R107=""),"",IFERROR(IF(AND(Q107="Not by 16:00",R107="Not by 16:00"),"Neither taken",IF(FIND("|"&amp;Q107&amp;"|","|1-5 min|5-15 min|15-60 min|9:30-11:00|11:00-16:00|Not by 16:00|")=FIND("|"&amp;R107&amp;"|","|1-5 min|5-15 min|15-60 min|9:30-11:00|11:00-16:00|Not by 16:00|"),"Same window",IF(FIND("|"&amp;Q107&amp;"|","|1-5 min|5-15 min|15-60 min|9:30-11:00|11:00-16:00|Not by 16:00|")&lt;FIND("|"&amp;R107&amp;"|","|1-5 min|5-15 min|15-60 min|9:30-11:00|11:00-16:00|Not by 16:00|"),IF(E107="Up","High first (main side)",IF(E107="Down","High first (wick side)","High first")),IF(E107="Down","Low first (main side)",IF(E107="Up","Low first (wick side)","Low first"))))),"Check entries"))</f>
        <v/>
      </c>
      <c r="X107" s="28" t="n"/>
      <c r="Y107" s="27" t="n"/>
      <c r="Z107" s="27" t="n"/>
      <c r="AA107" s="27" t="n"/>
      <c r="AB107" s="27" t="n"/>
      <c r="AC107" s="27" t="n"/>
      <c r="AD107" s="27" t="n"/>
      <c r="AE107" s="28" t="n"/>
      <c r="AF107" s="30" t="n"/>
      <c r="AG107" s="27" t="n"/>
    </row>
    <row r="108">
      <c r="A108" s="25" t="n"/>
      <c r="B108" s="26">
        <f>IF(ISNUMBER(A108),TEXT(A108,"ddd"),"")</f>
        <v/>
      </c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8" t="n"/>
      <c r="M108" s="26">
        <f>IF(OR(L108="",AND(E108&lt;&gt;"Up",E108&lt;&gt;"Down")),"",IF(OR(L108="In line",L108="Mixed"),"Neutral data",IF(OR(AND(L108="Hotter",E108="Down"),AND(L108="Cooler",E108="Up")),"With data","Against data")))</f>
        <v/>
      </c>
      <c r="N108" s="28" t="n"/>
      <c r="O108" s="27" t="n"/>
      <c r="P108" s="27" t="n"/>
      <c r="Q108" s="28" t="n"/>
      <c r="R108" s="27" t="n"/>
      <c r="S108" s="29" t="n"/>
      <c r="T108" s="27" t="n"/>
      <c r="U108" s="27" t="n"/>
      <c r="V108" s="26">
        <f>IF(OR(AND(E108&lt;&gt;"Up",E108&lt;&gt;"Down"),NOT(ISNUMBER(S108)),IF(E108="Up",Q108,R108)=""),"",IF(S108&gt;=100,"Back to open",IF(OR(IF(E108="Up",Q108,R108)="1-5 min",IF(E108="Up",Q108,R108)="5-15 min"),"Continued",IF(S108&gt;=50,"Partial retrace","Stalled / chop"))))</f>
        <v/>
      </c>
      <c r="W108" s="26">
        <f>IF(OR(Q108="",R108=""),"",IFERROR(IF(AND(Q108="Not by 16:00",R108="Not by 16:00"),"Neither taken",IF(FIND("|"&amp;Q108&amp;"|","|1-5 min|5-15 min|15-60 min|9:30-11:00|11:00-16:00|Not by 16:00|")=FIND("|"&amp;R108&amp;"|","|1-5 min|5-15 min|15-60 min|9:30-11:00|11:00-16:00|Not by 16:00|"),"Same window",IF(FIND("|"&amp;Q108&amp;"|","|1-5 min|5-15 min|15-60 min|9:30-11:00|11:00-16:00|Not by 16:00|")&lt;FIND("|"&amp;R108&amp;"|","|1-5 min|5-15 min|15-60 min|9:30-11:00|11:00-16:00|Not by 16:00|"),IF(E108="Up","High first (main side)",IF(E108="Down","High first (wick side)","High first")),IF(E108="Down","Low first (main side)",IF(E108="Up","Low first (wick side)","Low first"))))),"Check entries"))</f>
        <v/>
      </c>
      <c r="X108" s="28" t="n"/>
      <c r="Y108" s="27" t="n"/>
      <c r="Z108" s="27" t="n"/>
      <c r="AA108" s="27" t="n"/>
      <c r="AB108" s="27" t="n"/>
      <c r="AC108" s="27" t="n"/>
      <c r="AD108" s="27" t="n"/>
      <c r="AE108" s="28" t="n"/>
      <c r="AF108" s="30" t="n"/>
      <c r="AG108" s="27" t="n"/>
    </row>
    <row r="109">
      <c r="A109" s="25" t="n"/>
      <c r="B109" s="26">
        <f>IF(ISNUMBER(A109),TEXT(A109,"ddd"),"")</f>
        <v/>
      </c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  <c r="M109" s="26">
        <f>IF(OR(L109="",AND(E109&lt;&gt;"Up",E109&lt;&gt;"Down")),"",IF(OR(L109="In line",L109="Mixed"),"Neutral data",IF(OR(AND(L109="Hotter",E109="Down"),AND(L109="Cooler",E109="Up")),"With data","Against data")))</f>
        <v/>
      </c>
      <c r="N109" s="28" t="n"/>
      <c r="O109" s="27" t="n"/>
      <c r="P109" s="27" t="n"/>
      <c r="Q109" s="28" t="n"/>
      <c r="R109" s="27" t="n"/>
      <c r="S109" s="29" t="n"/>
      <c r="T109" s="27" t="n"/>
      <c r="U109" s="27" t="n"/>
      <c r="V109" s="26">
        <f>IF(OR(AND(E109&lt;&gt;"Up",E109&lt;&gt;"Down"),NOT(ISNUMBER(S109)),IF(E109="Up",Q109,R109)=""),"",IF(S109&gt;=100,"Back to open",IF(OR(IF(E109="Up",Q109,R109)="1-5 min",IF(E109="Up",Q109,R109)="5-15 min"),"Continued",IF(S109&gt;=50,"Partial retrace","Stalled / chop"))))</f>
        <v/>
      </c>
      <c r="W109" s="26">
        <f>IF(OR(Q109="",R109=""),"",IFERROR(IF(AND(Q109="Not by 16:00",R109="Not by 16:00"),"Neither taken",IF(FIND("|"&amp;Q109&amp;"|","|1-5 min|5-15 min|15-60 min|9:30-11:00|11:00-16:00|Not by 16:00|")=FIND("|"&amp;R109&amp;"|","|1-5 min|5-15 min|15-60 min|9:30-11:00|11:00-16:00|Not by 16:00|"),"Same window",IF(FIND("|"&amp;Q109&amp;"|","|1-5 min|5-15 min|15-60 min|9:30-11:00|11:00-16:00|Not by 16:00|")&lt;FIND("|"&amp;R109&amp;"|","|1-5 min|5-15 min|15-60 min|9:30-11:00|11:00-16:00|Not by 16:00|"),IF(E109="Up","High first (main side)",IF(E109="Down","High first (wick side)","High first")),IF(E109="Down","Low first (main side)",IF(E109="Up","Low first (wick side)","Low first"))))),"Check entries"))</f>
        <v/>
      </c>
      <c r="X109" s="28" t="n"/>
      <c r="Y109" s="27" t="n"/>
      <c r="Z109" s="27" t="n"/>
      <c r="AA109" s="27" t="n"/>
      <c r="AB109" s="27" t="n"/>
      <c r="AC109" s="27" t="n"/>
      <c r="AD109" s="27" t="n"/>
      <c r="AE109" s="28" t="n"/>
      <c r="AF109" s="30" t="n"/>
      <c r="AG109" s="27" t="n"/>
    </row>
    <row r="110">
      <c r="A110" s="25" t="n"/>
      <c r="B110" s="26">
        <f>IF(ISNUMBER(A110),TEXT(A110,"ddd"),"")</f>
        <v/>
      </c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8" t="n"/>
      <c r="M110" s="26">
        <f>IF(OR(L110="",AND(E110&lt;&gt;"Up",E110&lt;&gt;"Down")),"",IF(OR(L110="In line",L110="Mixed"),"Neutral data",IF(OR(AND(L110="Hotter",E110="Down"),AND(L110="Cooler",E110="Up")),"With data","Against data")))</f>
        <v/>
      </c>
      <c r="N110" s="28" t="n"/>
      <c r="O110" s="27" t="n"/>
      <c r="P110" s="27" t="n"/>
      <c r="Q110" s="28" t="n"/>
      <c r="R110" s="27" t="n"/>
      <c r="S110" s="29" t="n"/>
      <c r="T110" s="27" t="n"/>
      <c r="U110" s="27" t="n"/>
      <c r="V110" s="26">
        <f>IF(OR(AND(E110&lt;&gt;"Up",E110&lt;&gt;"Down"),NOT(ISNUMBER(S110)),IF(E110="Up",Q110,R110)=""),"",IF(S110&gt;=100,"Back to open",IF(OR(IF(E110="Up",Q110,R110)="1-5 min",IF(E110="Up",Q110,R110)="5-15 min"),"Continued",IF(S110&gt;=50,"Partial retrace","Stalled / chop"))))</f>
        <v/>
      </c>
      <c r="W110" s="26">
        <f>IF(OR(Q110="",R110=""),"",IFERROR(IF(AND(Q110="Not by 16:00",R110="Not by 16:00"),"Neither taken",IF(FIND("|"&amp;Q110&amp;"|","|1-5 min|5-15 min|15-60 min|9:30-11:00|11:00-16:00|Not by 16:00|")=FIND("|"&amp;R110&amp;"|","|1-5 min|5-15 min|15-60 min|9:30-11:00|11:00-16:00|Not by 16:00|"),"Same window",IF(FIND("|"&amp;Q110&amp;"|","|1-5 min|5-15 min|15-60 min|9:30-11:00|11:00-16:00|Not by 16:00|")&lt;FIND("|"&amp;R110&amp;"|","|1-5 min|5-15 min|15-60 min|9:30-11:00|11:00-16:00|Not by 16:00|"),IF(E110="Up","High first (main side)",IF(E110="Down","High first (wick side)","High first")),IF(E110="Down","Low first (main side)",IF(E110="Up","Low first (wick side)","Low first"))))),"Check entries"))</f>
        <v/>
      </c>
      <c r="X110" s="28" t="n"/>
      <c r="Y110" s="27" t="n"/>
      <c r="Z110" s="27" t="n"/>
      <c r="AA110" s="27" t="n"/>
      <c r="AB110" s="27" t="n"/>
      <c r="AC110" s="27" t="n"/>
      <c r="AD110" s="27" t="n"/>
      <c r="AE110" s="28" t="n"/>
      <c r="AF110" s="30" t="n"/>
      <c r="AG110" s="27" t="n"/>
    </row>
    <row r="111">
      <c r="A111" s="25" t="n"/>
      <c r="B111" s="26">
        <f>IF(ISNUMBER(A111),TEXT(A111,"ddd"),"")</f>
        <v/>
      </c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  <c r="M111" s="26">
        <f>IF(OR(L111="",AND(E111&lt;&gt;"Up",E111&lt;&gt;"Down")),"",IF(OR(L111="In line",L111="Mixed"),"Neutral data",IF(OR(AND(L111="Hotter",E111="Down"),AND(L111="Cooler",E111="Up")),"With data","Against data")))</f>
        <v/>
      </c>
      <c r="N111" s="28" t="n"/>
      <c r="O111" s="27" t="n"/>
      <c r="P111" s="27" t="n"/>
      <c r="Q111" s="28" t="n"/>
      <c r="R111" s="27" t="n"/>
      <c r="S111" s="29" t="n"/>
      <c r="T111" s="27" t="n"/>
      <c r="U111" s="27" t="n"/>
      <c r="V111" s="26">
        <f>IF(OR(AND(E111&lt;&gt;"Up",E111&lt;&gt;"Down"),NOT(ISNUMBER(S111)),IF(E111="Up",Q111,R111)=""),"",IF(S111&gt;=100,"Back to open",IF(OR(IF(E111="Up",Q111,R111)="1-5 min",IF(E111="Up",Q111,R111)="5-15 min"),"Continued",IF(S111&gt;=50,"Partial retrace","Stalled / chop"))))</f>
        <v/>
      </c>
      <c r="W111" s="26">
        <f>IF(OR(Q111="",R111=""),"",IFERROR(IF(AND(Q111="Not by 16:00",R111="Not by 16:00"),"Neither taken",IF(FIND("|"&amp;Q111&amp;"|","|1-5 min|5-15 min|15-60 min|9:30-11:00|11:00-16:00|Not by 16:00|")=FIND("|"&amp;R111&amp;"|","|1-5 min|5-15 min|15-60 min|9:30-11:00|11:00-16:00|Not by 16:00|"),"Same window",IF(FIND("|"&amp;Q111&amp;"|","|1-5 min|5-15 min|15-60 min|9:30-11:00|11:00-16:00|Not by 16:00|")&lt;FIND("|"&amp;R111&amp;"|","|1-5 min|5-15 min|15-60 min|9:30-11:00|11:00-16:00|Not by 16:00|"),IF(E111="Up","High first (main side)",IF(E111="Down","High first (wick side)","High first")),IF(E111="Down","Low first (main side)",IF(E111="Up","Low first (wick side)","Low first"))))),"Check entries"))</f>
        <v/>
      </c>
      <c r="X111" s="28" t="n"/>
      <c r="Y111" s="27" t="n"/>
      <c r="Z111" s="27" t="n"/>
      <c r="AA111" s="27" t="n"/>
      <c r="AB111" s="27" t="n"/>
      <c r="AC111" s="27" t="n"/>
      <c r="AD111" s="27" t="n"/>
      <c r="AE111" s="28" t="n"/>
      <c r="AF111" s="30" t="n"/>
      <c r="AG111" s="27" t="n"/>
    </row>
    <row r="112">
      <c r="A112" s="25" t="n"/>
      <c r="B112" s="26">
        <f>IF(ISNUMBER(A112),TEXT(A112,"ddd"),"")</f>
        <v/>
      </c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8" t="n"/>
      <c r="M112" s="26">
        <f>IF(OR(L112="",AND(E112&lt;&gt;"Up",E112&lt;&gt;"Down")),"",IF(OR(L112="In line",L112="Mixed"),"Neutral data",IF(OR(AND(L112="Hotter",E112="Down"),AND(L112="Cooler",E112="Up")),"With data","Against data")))</f>
        <v/>
      </c>
      <c r="N112" s="28" t="n"/>
      <c r="O112" s="27" t="n"/>
      <c r="P112" s="27" t="n"/>
      <c r="Q112" s="28" t="n"/>
      <c r="R112" s="27" t="n"/>
      <c r="S112" s="29" t="n"/>
      <c r="T112" s="27" t="n"/>
      <c r="U112" s="27" t="n"/>
      <c r="V112" s="26">
        <f>IF(OR(AND(E112&lt;&gt;"Up",E112&lt;&gt;"Down"),NOT(ISNUMBER(S112)),IF(E112="Up",Q112,R112)=""),"",IF(S112&gt;=100,"Back to open",IF(OR(IF(E112="Up",Q112,R112)="1-5 min",IF(E112="Up",Q112,R112)="5-15 min"),"Continued",IF(S112&gt;=50,"Partial retrace","Stalled / chop"))))</f>
        <v/>
      </c>
      <c r="W112" s="26">
        <f>IF(OR(Q112="",R112=""),"",IFERROR(IF(AND(Q112="Not by 16:00",R112="Not by 16:00"),"Neither taken",IF(FIND("|"&amp;Q112&amp;"|","|1-5 min|5-15 min|15-60 min|9:30-11:00|11:00-16:00|Not by 16:00|")=FIND("|"&amp;R112&amp;"|","|1-5 min|5-15 min|15-60 min|9:30-11:00|11:00-16:00|Not by 16:00|"),"Same window",IF(FIND("|"&amp;Q112&amp;"|","|1-5 min|5-15 min|15-60 min|9:30-11:00|11:00-16:00|Not by 16:00|")&lt;FIND("|"&amp;R112&amp;"|","|1-5 min|5-15 min|15-60 min|9:30-11:00|11:00-16:00|Not by 16:00|"),IF(E112="Up","High first (main side)",IF(E112="Down","High first (wick side)","High first")),IF(E112="Down","Low first (main side)",IF(E112="Up","Low first (wick side)","Low first"))))),"Check entries"))</f>
        <v/>
      </c>
      <c r="X112" s="28" t="n"/>
      <c r="Y112" s="27" t="n"/>
      <c r="Z112" s="27" t="n"/>
      <c r="AA112" s="27" t="n"/>
      <c r="AB112" s="27" t="n"/>
      <c r="AC112" s="27" t="n"/>
      <c r="AD112" s="27" t="n"/>
      <c r="AE112" s="28" t="n"/>
      <c r="AF112" s="30" t="n"/>
      <c r="AG112" s="27" t="n"/>
    </row>
    <row r="113">
      <c r="A113" s="25" t="n"/>
      <c r="B113" s="26">
        <f>IF(ISNUMBER(A113),TEXT(A113,"ddd"),"")</f>
        <v/>
      </c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  <c r="M113" s="26">
        <f>IF(OR(L113="",AND(E113&lt;&gt;"Up",E113&lt;&gt;"Down")),"",IF(OR(L113="In line",L113="Mixed"),"Neutral data",IF(OR(AND(L113="Hotter",E113="Down"),AND(L113="Cooler",E113="Up")),"With data","Against data")))</f>
        <v/>
      </c>
      <c r="N113" s="28" t="n"/>
      <c r="O113" s="27" t="n"/>
      <c r="P113" s="27" t="n"/>
      <c r="Q113" s="28" t="n"/>
      <c r="R113" s="27" t="n"/>
      <c r="S113" s="29" t="n"/>
      <c r="T113" s="27" t="n"/>
      <c r="U113" s="27" t="n"/>
      <c r="V113" s="26">
        <f>IF(OR(AND(E113&lt;&gt;"Up",E113&lt;&gt;"Down"),NOT(ISNUMBER(S113)),IF(E113="Up",Q113,R113)=""),"",IF(S113&gt;=100,"Back to open",IF(OR(IF(E113="Up",Q113,R113)="1-5 min",IF(E113="Up",Q113,R113)="5-15 min"),"Continued",IF(S113&gt;=50,"Partial retrace","Stalled / chop"))))</f>
        <v/>
      </c>
      <c r="W113" s="26">
        <f>IF(OR(Q113="",R113=""),"",IFERROR(IF(AND(Q113="Not by 16:00",R113="Not by 16:00"),"Neither taken",IF(FIND("|"&amp;Q113&amp;"|","|1-5 min|5-15 min|15-60 min|9:30-11:00|11:00-16:00|Not by 16:00|")=FIND("|"&amp;R113&amp;"|","|1-5 min|5-15 min|15-60 min|9:30-11:00|11:00-16:00|Not by 16:00|"),"Same window",IF(FIND("|"&amp;Q113&amp;"|","|1-5 min|5-15 min|15-60 min|9:30-11:00|11:00-16:00|Not by 16:00|")&lt;FIND("|"&amp;R113&amp;"|","|1-5 min|5-15 min|15-60 min|9:30-11:00|11:00-16:00|Not by 16:00|"),IF(E113="Up","High first (main side)",IF(E113="Down","High first (wick side)","High first")),IF(E113="Down","Low first (main side)",IF(E113="Up","Low first (wick side)","Low first"))))),"Check entries"))</f>
        <v/>
      </c>
      <c r="X113" s="28" t="n"/>
      <c r="Y113" s="27" t="n"/>
      <c r="Z113" s="27" t="n"/>
      <c r="AA113" s="27" t="n"/>
      <c r="AB113" s="27" t="n"/>
      <c r="AC113" s="27" t="n"/>
      <c r="AD113" s="27" t="n"/>
      <c r="AE113" s="28" t="n"/>
      <c r="AF113" s="30" t="n"/>
      <c r="AG113" s="27" t="n"/>
    </row>
    <row r="114">
      <c r="A114" s="25" t="n"/>
      <c r="B114" s="26">
        <f>IF(ISNUMBER(A114),TEXT(A114,"ddd"),"")</f>
        <v/>
      </c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8" t="n"/>
      <c r="M114" s="26">
        <f>IF(OR(L114="",AND(E114&lt;&gt;"Up",E114&lt;&gt;"Down")),"",IF(OR(L114="In line",L114="Mixed"),"Neutral data",IF(OR(AND(L114="Hotter",E114="Down"),AND(L114="Cooler",E114="Up")),"With data","Against data")))</f>
        <v/>
      </c>
      <c r="N114" s="28" t="n"/>
      <c r="O114" s="27" t="n"/>
      <c r="P114" s="27" t="n"/>
      <c r="Q114" s="28" t="n"/>
      <c r="R114" s="27" t="n"/>
      <c r="S114" s="29" t="n"/>
      <c r="T114" s="27" t="n"/>
      <c r="U114" s="27" t="n"/>
      <c r="V114" s="26">
        <f>IF(OR(AND(E114&lt;&gt;"Up",E114&lt;&gt;"Down"),NOT(ISNUMBER(S114)),IF(E114="Up",Q114,R114)=""),"",IF(S114&gt;=100,"Back to open",IF(OR(IF(E114="Up",Q114,R114)="1-5 min",IF(E114="Up",Q114,R114)="5-15 min"),"Continued",IF(S114&gt;=50,"Partial retrace","Stalled / chop"))))</f>
        <v/>
      </c>
      <c r="W114" s="26">
        <f>IF(OR(Q114="",R114=""),"",IFERROR(IF(AND(Q114="Not by 16:00",R114="Not by 16:00"),"Neither taken",IF(FIND("|"&amp;Q114&amp;"|","|1-5 min|5-15 min|15-60 min|9:30-11:00|11:00-16:00|Not by 16:00|")=FIND("|"&amp;R114&amp;"|","|1-5 min|5-15 min|15-60 min|9:30-11:00|11:00-16:00|Not by 16:00|"),"Same window",IF(FIND("|"&amp;Q114&amp;"|","|1-5 min|5-15 min|15-60 min|9:30-11:00|11:00-16:00|Not by 16:00|")&lt;FIND("|"&amp;R114&amp;"|","|1-5 min|5-15 min|15-60 min|9:30-11:00|11:00-16:00|Not by 16:00|"),IF(E114="Up","High first (main side)",IF(E114="Down","High first (wick side)","High first")),IF(E114="Down","Low first (main side)",IF(E114="Up","Low first (wick side)","Low first"))))),"Check entries"))</f>
        <v/>
      </c>
      <c r="X114" s="28" t="n"/>
      <c r="Y114" s="27" t="n"/>
      <c r="Z114" s="27" t="n"/>
      <c r="AA114" s="27" t="n"/>
      <c r="AB114" s="27" t="n"/>
      <c r="AC114" s="27" t="n"/>
      <c r="AD114" s="27" t="n"/>
      <c r="AE114" s="28" t="n"/>
      <c r="AF114" s="30" t="n"/>
      <c r="AG114" s="27" t="n"/>
    </row>
    <row r="115">
      <c r="A115" s="25" t="n"/>
      <c r="B115" s="26">
        <f>IF(ISNUMBER(A115),TEXT(A115,"ddd"),"")</f>
        <v/>
      </c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  <c r="M115" s="26">
        <f>IF(OR(L115="",AND(E115&lt;&gt;"Up",E115&lt;&gt;"Down")),"",IF(OR(L115="In line",L115="Mixed"),"Neutral data",IF(OR(AND(L115="Hotter",E115="Down"),AND(L115="Cooler",E115="Up")),"With data","Against data")))</f>
        <v/>
      </c>
      <c r="N115" s="28" t="n"/>
      <c r="O115" s="27" t="n"/>
      <c r="P115" s="27" t="n"/>
      <c r="Q115" s="28" t="n"/>
      <c r="R115" s="27" t="n"/>
      <c r="S115" s="29" t="n"/>
      <c r="T115" s="27" t="n"/>
      <c r="U115" s="27" t="n"/>
      <c r="V115" s="26">
        <f>IF(OR(AND(E115&lt;&gt;"Up",E115&lt;&gt;"Down"),NOT(ISNUMBER(S115)),IF(E115="Up",Q115,R115)=""),"",IF(S115&gt;=100,"Back to open",IF(OR(IF(E115="Up",Q115,R115)="1-5 min",IF(E115="Up",Q115,R115)="5-15 min"),"Continued",IF(S115&gt;=50,"Partial retrace","Stalled / chop"))))</f>
        <v/>
      </c>
      <c r="W115" s="26">
        <f>IF(OR(Q115="",R115=""),"",IFERROR(IF(AND(Q115="Not by 16:00",R115="Not by 16:00"),"Neither taken",IF(FIND("|"&amp;Q115&amp;"|","|1-5 min|5-15 min|15-60 min|9:30-11:00|11:00-16:00|Not by 16:00|")=FIND("|"&amp;R115&amp;"|","|1-5 min|5-15 min|15-60 min|9:30-11:00|11:00-16:00|Not by 16:00|"),"Same window",IF(FIND("|"&amp;Q115&amp;"|","|1-5 min|5-15 min|15-60 min|9:30-11:00|11:00-16:00|Not by 16:00|")&lt;FIND("|"&amp;R115&amp;"|","|1-5 min|5-15 min|15-60 min|9:30-11:00|11:00-16:00|Not by 16:00|"),IF(E115="Up","High first (main side)",IF(E115="Down","High first (wick side)","High first")),IF(E115="Down","Low first (main side)",IF(E115="Up","Low first (wick side)","Low first"))))),"Check entries"))</f>
        <v/>
      </c>
      <c r="X115" s="28" t="n"/>
      <c r="Y115" s="27" t="n"/>
      <c r="Z115" s="27" t="n"/>
      <c r="AA115" s="27" t="n"/>
      <c r="AB115" s="27" t="n"/>
      <c r="AC115" s="27" t="n"/>
      <c r="AD115" s="27" t="n"/>
      <c r="AE115" s="28" t="n"/>
      <c r="AF115" s="30" t="n"/>
      <c r="AG115" s="27" t="n"/>
    </row>
    <row r="116">
      <c r="A116" s="25" t="n"/>
      <c r="B116" s="26">
        <f>IF(ISNUMBER(A116),TEXT(A116,"ddd"),"")</f>
        <v/>
      </c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8" t="n"/>
      <c r="M116" s="26">
        <f>IF(OR(L116="",AND(E116&lt;&gt;"Up",E116&lt;&gt;"Down")),"",IF(OR(L116="In line",L116="Mixed"),"Neutral data",IF(OR(AND(L116="Hotter",E116="Down"),AND(L116="Cooler",E116="Up")),"With data","Against data")))</f>
        <v/>
      </c>
      <c r="N116" s="28" t="n"/>
      <c r="O116" s="27" t="n"/>
      <c r="P116" s="27" t="n"/>
      <c r="Q116" s="28" t="n"/>
      <c r="R116" s="27" t="n"/>
      <c r="S116" s="29" t="n"/>
      <c r="T116" s="27" t="n"/>
      <c r="U116" s="27" t="n"/>
      <c r="V116" s="26">
        <f>IF(OR(AND(E116&lt;&gt;"Up",E116&lt;&gt;"Down"),NOT(ISNUMBER(S116)),IF(E116="Up",Q116,R116)=""),"",IF(S116&gt;=100,"Back to open",IF(OR(IF(E116="Up",Q116,R116)="1-5 min",IF(E116="Up",Q116,R116)="5-15 min"),"Continued",IF(S116&gt;=50,"Partial retrace","Stalled / chop"))))</f>
        <v/>
      </c>
      <c r="W116" s="26">
        <f>IF(OR(Q116="",R116=""),"",IFERROR(IF(AND(Q116="Not by 16:00",R116="Not by 16:00"),"Neither taken",IF(FIND("|"&amp;Q116&amp;"|","|1-5 min|5-15 min|15-60 min|9:30-11:00|11:00-16:00|Not by 16:00|")=FIND("|"&amp;R116&amp;"|","|1-5 min|5-15 min|15-60 min|9:30-11:00|11:00-16:00|Not by 16:00|"),"Same window",IF(FIND("|"&amp;Q116&amp;"|","|1-5 min|5-15 min|15-60 min|9:30-11:00|11:00-16:00|Not by 16:00|")&lt;FIND("|"&amp;R116&amp;"|","|1-5 min|5-15 min|15-60 min|9:30-11:00|11:00-16:00|Not by 16:00|"),IF(E116="Up","High first (main side)",IF(E116="Down","High first (wick side)","High first")),IF(E116="Down","Low first (main side)",IF(E116="Up","Low first (wick side)","Low first"))))),"Check entries"))</f>
        <v/>
      </c>
      <c r="X116" s="28" t="n"/>
      <c r="Y116" s="27" t="n"/>
      <c r="Z116" s="27" t="n"/>
      <c r="AA116" s="27" t="n"/>
      <c r="AB116" s="27" t="n"/>
      <c r="AC116" s="27" t="n"/>
      <c r="AD116" s="27" t="n"/>
      <c r="AE116" s="28" t="n"/>
      <c r="AF116" s="30" t="n"/>
      <c r="AG116" s="27" t="n"/>
    </row>
    <row r="117">
      <c r="A117" s="25" t="n"/>
      <c r="B117" s="26">
        <f>IF(ISNUMBER(A117),TEXT(A117,"ddd"),"")</f>
        <v/>
      </c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8" t="n"/>
      <c r="M117" s="26">
        <f>IF(OR(L117="",AND(E117&lt;&gt;"Up",E117&lt;&gt;"Down")),"",IF(OR(L117="In line",L117="Mixed"),"Neutral data",IF(OR(AND(L117="Hotter",E117="Down"),AND(L117="Cooler",E117="Up")),"With data","Against data")))</f>
        <v/>
      </c>
      <c r="N117" s="28" t="n"/>
      <c r="O117" s="27" t="n"/>
      <c r="P117" s="27" t="n"/>
      <c r="Q117" s="28" t="n"/>
      <c r="R117" s="27" t="n"/>
      <c r="S117" s="29" t="n"/>
      <c r="T117" s="27" t="n"/>
      <c r="U117" s="27" t="n"/>
      <c r="V117" s="26">
        <f>IF(OR(AND(E117&lt;&gt;"Up",E117&lt;&gt;"Down"),NOT(ISNUMBER(S117)),IF(E117="Up",Q117,R117)=""),"",IF(S117&gt;=100,"Back to open",IF(OR(IF(E117="Up",Q117,R117)="1-5 min",IF(E117="Up",Q117,R117)="5-15 min"),"Continued",IF(S117&gt;=50,"Partial retrace","Stalled / chop"))))</f>
        <v/>
      </c>
      <c r="W117" s="26">
        <f>IF(OR(Q117="",R117=""),"",IFERROR(IF(AND(Q117="Not by 16:00",R117="Not by 16:00"),"Neither taken",IF(FIND("|"&amp;Q117&amp;"|","|1-5 min|5-15 min|15-60 min|9:30-11:00|11:00-16:00|Not by 16:00|")=FIND("|"&amp;R117&amp;"|","|1-5 min|5-15 min|15-60 min|9:30-11:00|11:00-16:00|Not by 16:00|"),"Same window",IF(FIND("|"&amp;Q117&amp;"|","|1-5 min|5-15 min|15-60 min|9:30-11:00|11:00-16:00|Not by 16:00|")&lt;FIND("|"&amp;R117&amp;"|","|1-5 min|5-15 min|15-60 min|9:30-11:00|11:00-16:00|Not by 16:00|"),IF(E117="Up","High first (main side)",IF(E117="Down","High first (wick side)","High first")),IF(E117="Down","Low first (main side)",IF(E117="Up","Low first (wick side)","Low first"))))),"Check entries"))</f>
        <v/>
      </c>
      <c r="X117" s="28" t="n"/>
      <c r="Y117" s="27" t="n"/>
      <c r="Z117" s="27" t="n"/>
      <c r="AA117" s="27" t="n"/>
      <c r="AB117" s="27" t="n"/>
      <c r="AC117" s="27" t="n"/>
      <c r="AD117" s="27" t="n"/>
      <c r="AE117" s="28" t="n"/>
      <c r="AF117" s="30" t="n"/>
      <c r="AG117" s="27" t="n"/>
    </row>
    <row r="118">
      <c r="A118" s="25" t="n"/>
      <c r="B118" s="26">
        <f>IF(ISNUMBER(A118),TEXT(A118,"ddd"),"")</f>
        <v/>
      </c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8" t="n"/>
      <c r="M118" s="26">
        <f>IF(OR(L118="",AND(E118&lt;&gt;"Up",E118&lt;&gt;"Down")),"",IF(OR(L118="In line",L118="Mixed"),"Neutral data",IF(OR(AND(L118="Hotter",E118="Down"),AND(L118="Cooler",E118="Up")),"With data","Against data")))</f>
        <v/>
      </c>
      <c r="N118" s="28" t="n"/>
      <c r="O118" s="27" t="n"/>
      <c r="P118" s="27" t="n"/>
      <c r="Q118" s="28" t="n"/>
      <c r="R118" s="27" t="n"/>
      <c r="S118" s="29" t="n"/>
      <c r="T118" s="27" t="n"/>
      <c r="U118" s="27" t="n"/>
      <c r="V118" s="26">
        <f>IF(OR(AND(E118&lt;&gt;"Up",E118&lt;&gt;"Down"),NOT(ISNUMBER(S118)),IF(E118="Up",Q118,R118)=""),"",IF(S118&gt;=100,"Back to open",IF(OR(IF(E118="Up",Q118,R118)="1-5 min",IF(E118="Up",Q118,R118)="5-15 min"),"Continued",IF(S118&gt;=50,"Partial retrace","Stalled / chop"))))</f>
        <v/>
      </c>
      <c r="W118" s="26">
        <f>IF(OR(Q118="",R118=""),"",IFERROR(IF(AND(Q118="Not by 16:00",R118="Not by 16:00"),"Neither taken",IF(FIND("|"&amp;Q118&amp;"|","|1-5 min|5-15 min|15-60 min|9:30-11:00|11:00-16:00|Not by 16:00|")=FIND("|"&amp;R118&amp;"|","|1-5 min|5-15 min|15-60 min|9:30-11:00|11:00-16:00|Not by 16:00|"),"Same window",IF(FIND("|"&amp;Q118&amp;"|","|1-5 min|5-15 min|15-60 min|9:30-11:00|11:00-16:00|Not by 16:00|")&lt;FIND("|"&amp;R118&amp;"|","|1-5 min|5-15 min|15-60 min|9:30-11:00|11:00-16:00|Not by 16:00|"),IF(E118="Up","High first (main side)",IF(E118="Down","High first (wick side)","High first")),IF(E118="Down","Low first (main side)",IF(E118="Up","Low first (wick side)","Low first"))))),"Check entries"))</f>
        <v/>
      </c>
      <c r="X118" s="28" t="n"/>
      <c r="Y118" s="27" t="n"/>
      <c r="Z118" s="27" t="n"/>
      <c r="AA118" s="27" t="n"/>
      <c r="AB118" s="27" t="n"/>
      <c r="AC118" s="27" t="n"/>
      <c r="AD118" s="27" t="n"/>
      <c r="AE118" s="28" t="n"/>
      <c r="AF118" s="30" t="n"/>
      <c r="AG118" s="27" t="n"/>
    </row>
    <row r="119">
      <c r="A119" s="25" t="n"/>
      <c r="B119" s="26">
        <f>IF(ISNUMBER(A119),TEXT(A119,"ddd"),"")</f>
        <v/>
      </c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8" t="n"/>
      <c r="M119" s="26">
        <f>IF(OR(L119="",AND(E119&lt;&gt;"Up",E119&lt;&gt;"Down")),"",IF(OR(L119="In line",L119="Mixed"),"Neutral data",IF(OR(AND(L119="Hotter",E119="Down"),AND(L119="Cooler",E119="Up")),"With data","Against data")))</f>
        <v/>
      </c>
      <c r="N119" s="28" t="n"/>
      <c r="O119" s="27" t="n"/>
      <c r="P119" s="27" t="n"/>
      <c r="Q119" s="28" t="n"/>
      <c r="R119" s="27" t="n"/>
      <c r="S119" s="29" t="n"/>
      <c r="T119" s="27" t="n"/>
      <c r="U119" s="27" t="n"/>
      <c r="V119" s="26">
        <f>IF(OR(AND(E119&lt;&gt;"Up",E119&lt;&gt;"Down"),NOT(ISNUMBER(S119)),IF(E119="Up",Q119,R119)=""),"",IF(S119&gt;=100,"Back to open",IF(OR(IF(E119="Up",Q119,R119)="1-5 min",IF(E119="Up",Q119,R119)="5-15 min"),"Continued",IF(S119&gt;=50,"Partial retrace","Stalled / chop"))))</f>
        <v/>
      </c>
      <c r="W119" s="26">
        <f>IF(OR(Q119="",R119=""),"",IFERROR(IF(AND(Q119="Not by 16:00",R119="Not by 16:00"),"Neither taken",IF(FIND("|"&amp;Q119&amp;"|","|1-5 min|5-15 min|15-60 min|9:30-11:00|11:00-16:00|Not by 16:00|")=FIND("|"&amp;R119&amp;"|","|1-5 min|5-15 min|15-60 min|9:30-11:00|11:00-16:00|Not by 16:00|"),"Same window",IF(FIND("|"&amp;Q119&amp;"|","|1-5 min|5-15 min|15-60 min|9:30-11:00|11:00-16:00|Not by 16:00|")&lt;FIND("|"&amp;R119&amp;"|","|1-5 min|5-15 min|15-60 min|9:30-11:00|11:00-16:00|Not by 16:00|"),IF(E119="Up","High first (main side)",IF(E119="Down","High first (wick side)","High first")),IF(E119="Down","Low first (main side)",IF(E119="Up","Low first (wick side)","Low first"))))),"Check entries"))</f>
        <v/>
      </c>
      <c r="X119" s="28" t="n"/>
      <c r="Y119" s="27" t="n"/>
      <c r="Z119" s="27" t="n"/>
      <c r="AA119" s="27" t="n"/>
      <c r="AB119" s="27" t="n"/>
      <c r="AC119" s="27" t="n"/>
      <c r="AD119" s="27" t="n"/>
      <c r="AE119" s="28" t="n"/>
      <c r="AF119" s="30" t="n"/>
      <c r="AG119" s="27" t="n"/>
    </row>
    <row r="120">
      <c r="A120" s="25" t="n"/>
      <c r="B120" s="26">
        <f>IF(ISNUMBER(A120),TEXT(A120,"ddd"),"")</f>
        <v/>
      </c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8" t="n"/>
      <c r="M120" s="26">
        <f>IF(OR(L120="",AND(E120&lt;&gt;"Up",E120&lt;&gt;"Down")),"",IF(OR(L120="In line",L120="Mixed"),"Neutral data",IF(OR(AND(L120="Hotter",E120="Down"),AND(L120="Cooler",E120="Up")),"With data","Against data")))</f>
        <v/>
      </c>
      <c r="N120" s="28" t="n"/>
      <c r="O120" s="27" t="n"/>
      <c r="P120" s="27" t="n"/>
      <c r="Q120" s="28" t="n"/>
      <c r="R120" s="27" t="n"/>
      <c r="S120" s="29" t="n"/>
      <c r="T120" s="27" t="n"/>
      <c r="U120" s="27" t="n"/>
      <c r="V120" s="26">
        <f>IF(OR(AND(E120&lt;&gt;"Up",E120&lt;&gt;"Down"),NOT(ISNUMBER(S120)),IF(E120="Up",Q120,R120)=""),"",IF(S120&gt;=100,"Back to open",IF(OR(IF(E120="Up",Q120,R120)="1-5 min",IF(E120="Up",Q120,R120)="5-15 min"),"Continued",IF(S120&gt;=50,"Partial retrace","Stalled / chop"))))</f>
        <v/>
      </c>
      <c r="W120" s="26">
        <f>IF(OR(Q120="",R120=""),"",IFERROR(IF(AND(Q120="Not by 16:00",R120="Not by 16:00"),"Neither taken",IF(FIND("|"&amp;Q120&amp;"|","|1-5 min|5-15 min|15-60 min|9:30-11:00|11:00-16:00|Not by 16:00|")=FIND("|"&amp;R120&amp;"|","|1-5 min|5-15 min|15-60 min|9:30-11:00|11:00-16:00|Not by 16:00|"),"Same window",IF(FIND("|"&amp;Q120&amp;"|","|1-5 min|5-15 min|15-60 min|9:30-11:00|11:00-16:00|Not by 16:00|")&lt;FIND("|"&amp;R120&amp;"|","|1-5 min|5-15 min|15-60 min|9:30-11:00|11:00-16:00|Not by 16:00|"),IF(E120="Up","High first (main side)",IF(E120="Down","High first (wick side)","High first")),IF(E120="Down","Low first (main side)",IF(E120="Up","Low first (wick side)","Low first"))))),"Check entries"))</f>
        <v/>
      </c>
      <c r="X120" s="28" t="n"/>
      <c r="Y120" s="27" t="n"/>
      <c r="Z120" s="27" t="n"/>
      <c r="AA120" s="27" t="n"/>
      <c r="AB120" s="27" t="n"/>
      <c r="AC120" s="27" t="n"/>
      <c r="AD120" s="27" t="n"/>
      <c r="AE120" s="28" t="n"/>
      <c r="AF120" s="30" t="n"/>
      <c r="AG120" s="27" t="n"/>
    </row>
    <row r="121">
      <c r="A121" s="25" t="n"/>
      <c r="B121" s="26">
        <f>IF(ISNUMBER(A121),TEXT(A121,"ddd"),"")</f>
        <v/>
      </c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8" t="n"/>
      <c r="M121" s="26">
        <f>IF(OR(L121="",AND(E121&lt;&gt;"Up",E121&lt;&gt;"Down")),"",IF(OR(L121="In line",L121="Mixed"),"Neutral data",IF(OR(AND(L121="Hotter",E121="Down"),AND(L121="Cooler",E121="Up")),"With data","Against data")))</f>
        <v/>
      </c>
      <c r="N121" s="28" t="n"/>
      <c r="O121" s="27" t="n"/>
      <c r="P121" s="27" t="n"/>
      <c r="Q121" s="28" t="n"/>
      <c r="R121" s="27" t="n"/>
      <c r="S121" s="29" t="n"/>
      <c r="T121" s="27" t="n"/>
      <c r="U121" s="27" t="n"/>
      <c r="V121" s="26">
        <f>IF(OR(AND(E121&lt;&gt;"Up",E121&lt;&gt;"Down"),NOT(ISNUMBER(S121)),IF(E121="Up",Q121,R121)=""),"",IF(S121&gt;=100,"Back to open",IF(OR(IF(E121="Up",Q121,R121)="1-5 min",IF(E121="Up",Q121,R121)="5-15 min"),"Continued",IF(S121&gt;=50,"Partial retrace","Stalled / chop"))))</f>
        <v/>
      </c>
      <c r="W121" s="26">
        <f>IF(OR(Q121="",R121=""),"",IFERROR(IF(AND(Q121="Not by 16:00",R121="Not by 16:00"),"Neither taken",IF(FIND("|"&amp;Q121&amp;"|","|1-5 min|5-15 min|15-60 min|9:30-11:00|11:00-16:00|Not by 16:00|")=FIND("|"&amp;R121&amp;"|","|1-5 min|5-15 min|15-60 min|9:30-11:00|11:00-16:00|Not by 16:00|"),"Same window",IF(FIND("|"&amp;Q121&amp;"|","|1-5 min|5-15 min|15-60 min|9:30-11:00|11:00-16:00|Not by 16:00|")&lt;FIND("|"&amp;R121&amp;"|","|1-5 min|5-15 min|15-60 min|9:30-11:00|11:00-16:00|Not by 16:00|"),IF(E121="Up","High first (main side)",IF(E121="Down","High first (wick side)","High first")),IF(E121="Down","Low first (main side)",IF(E121="Up","Low first (wick side)","Low first"))))),"Check entries"))</f>
        <v/>
      </c>
      <c r="X121" s="28" t="n"/>
      <c r="Y121" s="27" t="n"/>
      <c r="Z121" s="27" t="n"/>
      <c r="AA121" s="27" t="n"/>
      <c r="AB121" s="27" t="n"/>
      <c r="AC121" s="27" t="n"/>
      <c r="AD121" s="27" t="n"/>
      <c r="AE121" s="28" t="n"/>
      <c r="AF121" s="30" t="n"/>
      <c r="AG121" s="27" t="n"/>
    </row>
    <row r="122">
      <c r="A122" s="25" t="n"/>
      <c r="B122" s="26">
        <f>IF(ISNUMBER(A122),TEXT(A122,"ddd"),"")</f>
        <v/>
      </c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8" t="n"/>
      <c r="M122" s="26">
        <f>IF(OR(L122="",AND(E122&lt;&gt;"Up",E122&lt;&gt;"Down")),"",IF(OR(L122="In line",L122="Mixed"),"Neutral data",IF(OR(AND(L122="Hotter",E122="Down"),AND(L122="Cooler",E122="Up")),"With data","Against data")))</f>
        <v/>
      </c>
      <c r="N122" s="28" t="n"/>
      <c r="O122" s="27" t="n"/>
      <c r="P122" s="27" t="n"/>
      <c r="Q122" s="28" t="n"/>
      <c r="R122" s="27" t="n"/>
      <c r="S122" s="29" t="n"/>
      <c r="T122" s="27" t="n"/>
      <c r="U122" s="27" t="n"/>
      <c r="V122" s="26">
        <f>IF(OR(AND(E122&lt;&gt;"Up",E122&lt;&gt;"Down"),NOT(ISNUMBER(S122)),IF(E122="Up",Q122,R122)=""),"",IF(S122&gt;=100,"Back to open",IF(OR(IF(E122="Up",Q122,R122)="1-5 min",IF(E122="Up",Q122,R122)="5-15 min"),"Continued",IF(S122&gt;=50,"Partial retrace","Stalled / chop"))))</f>
        <v/>
      </c>
      <c r="W122" s="26">
        <f>IF(OR(Q122="",R122=""),"",IFERROR(IF(AND(Q122="Not by 16:00",R122="Not by 16:00"),"Neither taken",IF(FIND("|"&amp;Q122&amp;"|","|1-5 min|5-15 min|15-60 min|9:30-11:00|11:00-16:00|Not by 16:00|")=FIND("|"&amp;R122&amp;"|","|1-5 min|5-15 min|15-60 min|9:30-11:00|11:00-16:00|Not by 16:00|"),"Same window",IF(FIND("|"&amp;Q122&amp;"|","|1-5 min|5-15 min|15-60 min|9:30-11:00|11:00-16:00|Not by 16:00|")&lt;FIND("|"&amp;R122&amp;"|","|1-5 min|5-15 min|15-60 min|9:30-11:00|11:00-16:00|Not by 16:00|"),IF(E122="Up","High first (main side)",IF(E122="Down","High first (wick side)","High first")),IF(E122="Down","Low first (main side)",IF(E122="Up","Low first (wick side)","Low first"))))),"Check entries"))</f>
        <v/>
      </c>
      <c r="X122" s="28" t="n"/>
      <c r="Y122" s="27" t="n"/>
      <c r="Z122" s="27" t="n"/>
      <c r="AA122" s="27" t="n"/>
      <c r="AB122" s="27" t="n"/>
      <c r="AC122" s="27" t="n"/>
      <c r="AD122" s="27" t="n"/>
      <c r="AE122" s="28" t="n"/>
      <c r="AF122" s="30" t="n"/>
      <c r="AG122" s="27" t="n"/>
    </row>
    <row r="123">
      <c r="A123" s="25" t="n"/>
      <c r="B123" s="26">
        <f>IF(ISNUMBER(A123),TEXT(A123,"ddd"),"")</f>
        <v/>
      </c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8" t="n"/>
      <c r="M123" s="26">
        <f>IF(OR(L123="",AND(E123&lt;&gt;"Up",E123&lt;&gt;"Down")),"",IF(OR(L123="In line",L123="Mixed"),"Neutral data",IF(OR(AND(L123="Hotter",E123="Down"),AND(L123="Cooler",E123="Up")),"With data","Against data")))</f>
        <v/>
      </c>
      <c r="N123" s="28" t="n"/>
      <c r="O123" s="27" t="n"/>
      <c r="P123" s="27" t="n"/>
      <c r="Q123" s="28" t="n"/>
      <c r="R123" s="27" t="n"/>
      <c r="S123" s="29" t="n"/>
      <c r="T123" s="27" t="n"/>
      <c r="U123" s="27" t="n"/>
      <c r="V123" s="26">
        <f>IF(OR(AND(E123&lt;&gt;"Up",E123&lt;&gt;"Down"),NOT(ISNUMBER(S123)),IF(E123="Up",Q123,R123)=""),"",IF(S123&gt;=100,"Back to open",IF(OR(IF(E123="Up",Q123,R123)="1-5 min",IF(E123="Up",Q123,R123)="5-15 min"),"Continued",IF(S123&gt;=50,"Partial retrace","Stalled / chop"))))</f>
        <v/>
      </c>
      <c r="W123" s="26">
        <f>IF(OR(Q123="",R123=""),"",IFERROR(IF(AND(Q123="Not by 16:00",R123="Not by 16:00"),"Neither taken",IF(FIND("|"&amp;Q123&amp;"|","|1-5 min|5-15 min|15-60 min|9:30-11:00|11:00-16:00|Not by 16:00|")=FIND("|"&amp;R123&amp;"|","|1-5 min|5-15 min|15-60 min|9:30-11:00|11:00-16:00|Not by 16:00|"),"Same window",IF(FIND("|"&amp;Q123&amp;"|","|1-5 min|5-15 min|15-60 min|9:30-11:00|11:00-16:00|Not by 16:00|")&lt;FIND("|"&amp;R123&amp;"|","|1-5 min|5-15 min|15-60 min|9:30-11:00|11:00-16:00|Not by 16:00|"),IF(E123="Up","High first (main side)",IF(E123="Down","High first (wick side)","High first")),IF(E123="Down","Low first (main side)",IF(E123="Up","Low first (wick side)","Low first"))))),"Check entries"))</f>
        <v/>
      </c>
      <c r="X123" s="28" t="n"/>
      <c r="Y123" s="27" t="n"/>
      <c r="Z123" s="27" t="n"/>
      <c r="AA123" s="27" t="n"/>
      <c r="AB123" s="27" t="n"/>
      <c r="AC123" s="27" t="n"/>
      <c r="AD123" s="27" t="n"/>
      <c r="AE123" s="28" t="n"/>
      <c r="AF123" s="30" t="n"/>
      <c r="AG123" s="27" t="n"/>
    </row>
    <row r="124">
      <c r="A124" s="25" t="n"/>
      <c r="B124" s="26">
        <f>IF(ISNUMBER(A124),TEXT(A124,"ddd"),"")</f>
        <v/>
      </c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8" t="n"/>
      <c r="M124" s="26">
        <f>IF(OR(L124="",AND(E124&lt;&gt;"Up",E124&lt;&gt;"Down")),"",IF(OR(L124="In line",L124="Mixed"),"Neutral data",IF(OR(AND(L124="Hotter",E124="Down"),AND(L124="Cooler",E124="Up")),"With data","Against data")))</f>
        <v/>
      </c>
      <c r="N124" s="28" t="n"/>
      <c r="O124" s="27" t="n"/>
      <c r="P124" s="27" t="n"/>
      <c r="Q124" s="28" t="n"/>
      <c r="R124" s="27" t="n"/>
      <c r="S124" s="29" t="n"/>
      <c r="T124" s="27" t="n"/>
      <c r="U124" s="27" t="n"/>
      <c r="V124" s="26">
        <f>IF(OR(AND(E124&lt;&gt;"Up",E124&lt;&gt;"Down"),NOT(ISNUMBER(S124)),IF(E124="Up",Q124,R124)=""),"",IF(S124&gt;=100,"Back to open",IF(OR(IF(E124="Up",Q124,R124)="1-5 min",IF(E124="Up",Q124,R124)="5-15 min"),"Continued",IF(S124&gt;=50,"Partial retrace","Stalled / chop"))))</f>
        <v/>
      </c>
      <c r="W124" s="26">
        <f>IF(OR(Q124="",R124=""),"",IFERROR(IF(AND(Q124="Not by 16:00",R124="Not by 16:00"),"Neither taken",IF(FIND("|"&amp;Q124&amp;"|","|1-5 min|5-15 min|15-60 min|9:30-11:00|11:00-16:00|Not by 16:00|")=FIND("|"&amp;R124&amp;"|","|1-5 min|5-15 min|15-60 min|9:30-11:00|11:00-16:00|Not by 16:00|"),"Same window",IF(FIND("|"&amp;Q124&amp;"|","|1-5 min|5-15 min|15-60 min|9:30-11:00|11:00-16:00|Not by 16:00|")&lt;FIND("|"&amp;R124&amp;"|","|1-5 min|5-15 min|15-60 min|9:30-11:00|11:00-16:00|Not by 16:00|"),IF(E124="Up","High first (main side)",IF(E124="Down","High first (wick side)","High first")),IF(E124="Down","Low first (main side)",IF(E124="Up","Low first (wick side)","Low first"))))),"Check entries"))</f>
        <v/>
      </c>
      <c r="X124" s="28" t="n"/>
      <c r="Y124" s="27" t="n"/>
      <c r="Z124" s="27" t="n"/>
      <c r="AA124" s="27" t="n"/>
      <c r="AB124" s="27" t="n"/>
      <c r="AC124" s="27" t="n"/>
      <c r="AD124" s="27" t="n"/>
      <c r="AE124" s="28" t="n"/>
      <c r="AF124" s="30" t="n"/>
      <c r="AG124" s="27" t="n"/>
    </row>
    <row r="125">
      <c r="A125" s="25" t="n"/>
      <c r="B125" s="26">
        <f>IF(ISNUMBER(A125),TEXT(A125,"ddd"),"")</f>
        <v/>
      </c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8" t="n"/>
      <c r="M125" s="26">
        <f>IF(OR(L125="",AND(E125&lt;&gt;"Up",E125&lt;&gt;"Down")),"",IF(OR(L125="In line",L125="Mixed"),"Neutral data",IF(OR(AND(L125="Hotter",E125="Down"),AND(L125="Cooler",E125="Up")),"With data","Against data")))</f>
        <v/>
      </c>
      <c r="N125" s="28" t="n"/>
      <c r="O125" s="27" t="n"/>
      <c r="P125" s="27" t="n"/>
      <c r="Q125" s="28" t="n"/>
      <c r="R125" s="27" t="n"/>
      <c r="S125" s="29" t="n"/>
      <c r="T125" s="27" t="n"/>
      <c r="U125" s="27" t="n"/>
      <c r="V125" s="26">
        <f>IF(OR(AND(E125&lt;&gt;"Up",E125&lt;&gt;"Down"),NOT(ISNUMBER(S125)),IF(E125="Up",Q125,R125)=""),"",IF(S125&gt;=100,"Back to open",IF(OR(IF(E125="Up",Q125,R125)="1-5 min",IF(E125="Up",Q125,R125)="5-15 min"),"Continued",IF(S125&gt;=50,"Partial retrace","Stalled / chop"))))</f>
        <v/>
      </c>
      <c r="W125" s="26">
        <f>IF(OR(Q125="",R125=""),"",IFERROR(IF(AND(Q125="Not by 16:00",R125="Not by 16:00"),"Neither taken",IF(FIND("|"&amp;Q125&amp;"|","|1-5 min|5-15 min|15-60 min|9:30-11:00|11:00-16:00|Not by 16:00|")=FIND("|"&amp;R125&amp;"|","|1-5 min|5-15 min|15-60 min|9:30-11:00|11:00-16:00|Not by 16:00|"),"Same window",IF(FIND("|"&amp;Q125&amp;"|","|1-5 min|5-15 min|15-60 min|9:30-11:00|11:00-16:00|Not by 16:00|")&lt;FIND("|"&amp;R125&amp;"|","|1-5 min|5-15 min|15-60 min|9:30-11:00|11:00-16:00|Not by 16:00|"),IF(E125="Up","High first (main side)",IF(E125="Down","High first (wick side)","High first")),IF(E125="Down","Low first (main side)",IF(E125="Up","Low first (wick side)","Low first"))))),"Check entries"))</f>
        <v/>
      </c>
      <c r="X125" s="28" t="n"/>
      <c r="Y125" s="27" t="n"/>
      <c r="Z125" s="27" t="n"/>
      <c r="AA125" s="27" t="n"/>
      <c r="AB125" s="27" t="n"/>
      <c r="AC125" s="27" t="n"/>
      <c r="AD125" s="27" t="n"/>
      <c r="AE125" s="28" t="n"/>
      <c r="AF125" s="30" t="n"/>
      <c r="AG125" s="27" t="n"/>
    </row>
    <row r="126">
      <c r="A126" s="25" t="n"/>
      <c r="B126" s="26">
        <f>IF(ISNUMBER(A126),TEXT(A126,"ddd"),"")</f>
        <v/>
      </c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8" t="n"/>
      <c r="M126" s="26">
        <f>IF(OR(L126="",AND(E126&lt;&gt;"Up",E126&lt;&gt;"Down")),"",IF(OR(L126="In line",L126="Mixed"),"Neutral data",IF(OR(AND(L126="Hotter",E126="Down"),AND(L126="Cooler",E126="Up")),"With data","Against data")))</f>
        <v/>
      </c>
      <c r="N126" s="28" t="n"/>
      <c r="O126" s="27" t="n"/>
      <c r="P126" s="27" t="n"/>
      <c r="Q126" s="28" t="n"/>
      <c r="R126" s="27" t="n"/>
      <c r="S126" s="29" t="n"/>
      <c r="T126" s="27" t="n"/>
      <c r="U126" s="27" t="n"/>
      <c r="V126" s="26">
        <f>IF(OR(AND(E126&lt;&gt;"Up",E126&lt;&gt;"Down"),NOT(ISNUMBER(S126)),IF(E126="Up",Q126,R126)=""),"",IF(S126&gt;=100,"Back to open",IF(OR(IF(E126="Up",Q126,R126)="1-5 min",IF(E126="Up",Q126,R126)="5-15 min"),"Continued",IF(S126&gt;=50,"Partial retrace","Stalled / chop"))))</f>
        <v/>
      </c>
      <c r="W126" s="26">
        <f>IF(OR(Q126="",R126=""),"",IFERROR(IF(AND(Q126="Not by 16:00",R126="Not by 16:00"),"Neither taken",IF(FIND("|"&amp;Q126&amp;"|","|1-5 min|5-15 min|15-60 min|9:30-11:00|11:00-16:00|Not by 16:00|")=FIND("|"&amp;R126&amp;"|","|1-5 min|5-15 min|15-60 min|9:30-11:00|11:00-16:00|Not by 16:00|"),"Same window",IF(FIND("|"&amp;Q126&amp;"|","|1-5 min|5-15 min|15-60 min|9:30-11:00|11:00-16:00|Not by 16:00|")&lt;FIND("|"&amp;R126&amp;"|","|1-5 min|5-15 min|15-60 min|9:30-11:00|11:00-16:00|Not by 16:00|"),IF(E126="Up","High first (main side)",IF(E126="Down","High first (wick side)","High first")),IF(E126="Down","Low first (main side)",IF(E126="Up","Low first (wick side)","Low first"))))),"Check entries"))</f>
        <v/>
      </c>
      <c r="X126" s="28" t="n"/>
      <c r="Y126" s="27" t="n"/>
      <c r="Z126" s="27" t="n"/>
      <c r="AA126" s="27" t="n"/>
      <c r="AB126" s="27" t="n"/>
      <c r="AC126" s="27" t="n"/>
      <c r="AD126" s="27" t="n"/>
      <c r="AE126" s="28" t="n"/>
      <c r="AF126" s="30" t="n"/>
      <c r="AG126" s="27" t="n"/>
    </row>
    <row r="127">
      <c r="A127" s="25" t="n"/>
      <c r="B127" s="26">
        <f>IF(ISNUMBER(A127),TEXT(A127,"ddd"),"")</f>
        <v/>
      </c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8" t="n"/>
      <c r="M127" s="26">
        <f>IF(OR(L127="",AND(E127&lt;&gt;"Up",E127&lt;&gt;"Down")),"",IF(OR(L127="In line",L127="Mixed"),"Neutral data",IF(OR(AND(L127="Hotter",E127="Down"),AND(L127="Cooler",E127="Up")),"With data","Against data")))</f>
        <v/>
      </c>
      <c r="N127" s="28" t="n"/>
      <c r="O127" s="27" t="n"/>
      <c r="P127" s="27" t="n"/>
      <c r="Q127" s="28" t="n"/>
      <c r="R127" s="27" t="n"/>
      <c r="S127" s="29" t="n"/>
      <c r="T127" s="27" t="n"/>
      <c r="U127" s="27" t="n"/>
      <c r="V127" s="26">
        <f>IF(OR(AND(E127&lt;&gt;"Up",E127&lt;&gt;"Down"),NOT(ISNUMBER(S127)),IF(E127="Up",Q127,R127)=""),"",IF(S127&gt;=100,"Back to open",IF(OR(IF(E127="Up",Q127,R127)="1-5 min",IF(E127="Up",Q127,R127)="5-15 min"),"Continued",IF(S127&gt;=50,"Partial retrace","Stalled / chop"))))</f>
        <v/>
      </c>
      <c r="W127" s="26">
        <f>IF(OR(Q127="",R127=""),"",IFERROR(IF(AND(Q127="Not by 16:00",R127="Not by 16:00"),"Neither taken",IF(FIND("|"&amp;Q127&amp;"|","|1-5 min|5-15 min|15-60 min|9:30-11:00|11:00-16:00|Not by 16:00|")=FIND("|"&amp;R127&amp;"|","|1-5 min|5-15 min|15-60 min|9:30-11:00|11:00-16:00|Not by 16:00|"),"Same window",IF(FIND("|"&amp;Q127&amp;"|","|1-5 min|5-15 min|15-60 min|9:30-11:00|11:00-16:00|Not by 16:00|")&lt;FIND("|"&amp;R127&amp;"|","|1-5 min|5-15 min|15-60 min|9:30-11:00|11:00-16:00|Not by 16:00|"),IF(E127="Up","High first (main side)",IF(E127="Down","High first (wick side)","High first")),IF(E127="Down","Low first (main side)",IF(E127="Up","Low first (wick side)","Low first"))))),"Check entries"))</f>
        <v/>
      </c>
      <c r="X127" s="28" t="n"/>
      <c r="Y127" s="27" t="n"/>
      <c r="Z127" s="27" t="n"/>
      <c r="AA127" s="27" t="n"/>
      <c r="AB127" s="27" t="n"/>
      <c r="AC127" s="27" t="n"/>
      <c r="AD127" s="27" t="n"/>
      <c r="AE127" s="28" t="n"/>
      <c r="AF127" s="30" t="n"/>
      <c r="AG127" s="27" t="n"/>
    </row>
    <row r="128">
      <c r="A128" s="25" t="n"/>
      <c r="B128" s="26">
        <f>IF(ISNUMBER(A128),TEXT(A128,"ddd"),"")</f>
        <v/>
      </c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8" t="n"/>
      <c r="M128" s="26">
        <f>IF(OR(L128="",AND(E128&lt;&gt;"Up",E128&lt;&gt;"Down")),"",IF(OR(L128="In line",L128="Mixed"),"Neutral data",IF(OR(AND(L128="Hotter",E128="Down"),AND(L128="Cooler",E128="Up")),"With data","Against data")))</f>
        <v/>
      </c>
      <c r="N128" s="28" t="n"/>
      <c r="O128" s="27" t="n"/>
      <c r="P128" s="27" t="n"/>
      <c r="Q128" s="28" t="n"/>
      <c r="R128" s="27" t="n"/>
      <c r="S128" s="29" t="n"/>
      <c r="T128" s="27" t="n"/>
      <c r="U128" s="27" t="n"/>
      <c r="V128" s="26">
        <f>IF(OR(AND(E128&lt;&gt;"Up",E128&lt;&gt;"Down"),NOT(ISNUMBER(S128)),IF(E128="Up",Q128,R128)=""),"",IF(S128&gt;=100,"Back to open",IF(OR(IF(E128="Up",Q128,R128)="1-5 min",IF(E128="Up",Q128,R128)="5-15 min"),"Continued",IF(S128&gt;=50,"Partial retrace","Stalled / chop"))))</f>
        <v/>
      </c>
      <c r="W128" s="26">
        <f>IF(OR(Q128="",R128=""),"",IFERROR(IF(AND(Q128="Not by 16:00",R128="Not by 16:00"),"Neither taken",IF(FIND("|"&amp;Q128&amp;"|","|1-5 min|5-15 min|15-60 min|9:30-11:00|11:00-16:00|Not by 16:00|")=FIND("|"&amp;R128&amp;"|","|1-5 min|5-15 min|15-60 min|9:30-11:00|11:00-16:00|Not by 16:00|"),"Same window",IF(FIND("|"&amp;Q128&amp;"|","|1-5 min|5-15 min|15-60 min|9:30-11:00|11:00-16:00|Not by 16:00|")&lt;FIND("|"&amp;R128&amp;"|","|1-5 min|5-15 min|15-60 min|9:30-11:00|11:00-16:00|Not by 16:00|"),IF(E128="Up","High first (main side)",IF(E128="Down","High first (wick side)","High first")),IF(E128="Down","Low first (main side)",IF(E128="Up","Low first (wick side)","Low first"))))),"Check entries"))</f>
        <v/>
      </c>
      <c r="X128" s="28" t="n"/>
      <c r="Y128" s="27" t="n"/>
      <c r="Z128" s="27" t="n"/>
      <c r="AA128" s="27" t="n"/>
      <c r="AB128" s="27" t="n"/>
      <c r="AC128" s="27" t="n"/>
      <c r="AD128" s="27" t="n"/>
      <c r="AE128" s="28" t="n"/>
      <c r="AF128" s="30" t="n"/>
      <c r="AG128" s="27" t="n"/>
    </row>
    <row r="129">
      <c r="A129" s="25" t="n"/>
      <c r="B129" s="26">
        <f>IF(ISNUMBER(A129),TEXT(A129,"ddd"),"")</f>
        <v/>
      </c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8" t="n"/>
      <c r="M129" s="26">
        <f>IF(OR(L129="",AND(E129&lt;&gt;"Up",E129&lt;&gt;"Down")),"",IF(OR(L129="In line",L129="Mixed"),"Neutral data",IF(OR(AND(L129="Hotter",E129="Down"),AND(L129="Cooler",E129="Up")),"With data","Against data")))</f>
        <v/>
      </c>
      <c r="N129" s="28" t="n"/>
      <c r="O129" s="27" t="n"/>
      <c r="P129" s="27" t="n"/>
      <c r="Q129" s="28" t="n"/>
      <c r="R129" s="27" t="n"/>
      <c r="S129" s="29" t="n"/>
      <c r="T129" s="27" t="n"/>
      <c r="U129" s="27" t="n"/>
      <c r="V129" s="26">
        <f>IF(OR(AND(E129&lt;&gt;"Up",E129&lt;&gt;"Down"),NOT(ISNUMBER(S129)),IF(E129="Up",Q129,R129)=""),"",IF(S129&gt;=100,"Back to open",IF(OR(IF(E129="Up",Q129,R129)="1-5 min",IF(E129="Up",Q129,R129)="5-15 min"),"Continued",IF(S129&gt;=50,"Partial retrace","Stalled / chop"))))</f>
        <v/>
      </c>
      <c r="W129" s="26">
        <f>IF(OR(Q129="",R129=""),"",IFERROR(IF(AND(Q129="Not by 16:00",R129="Not by 16:00"),"Neither taken",IF(FIND("|"&amp;Q129&amp;"|","|1-5 min|5-15 min|15-60 min|9:30-11:00|11:00-16:00|Not by 16:00|")=FIND("|"&amp;R129&amp;"|","|1-5 min|5-15 min|15-60 min|9:30-11:00|11:00-16:00|Not by 16:00|"),"Same window",IF(FIND("|"&amp;Q129&amp;"|","|1-5 min|5-15 min|15-60 min|9:30-11:00|11:00-16:00|Not by 16:00|")&lt;FIND("|"&amp;R129&amp;"|","|1-5 min|5-15 min|15-60 min|9:30-11:00|11:00-16:00|Not by 16:00|"),IF(E129="Up","High first (main side)",IF(E129="Down","High first (wick side)","High first")),IF(E129="Down","Low first (main side)",IF(E129="Up","Low first (wick side)","Low first"))))),"Check entries"))</f>
        <v/>
      </c>
      <c r="X129" s="28" t="n"/>
      <c r="Y129" s="27" t="n"/>
      <c r="Z129" s="27" t="n"/>
      <c r="AA129" s="27" t="n"/>
      <c r="AB129" s="27" t="n"/>
      <c r="AC129" s="27" t="n"/>
      <c r="AD129" s="27" t="n"/>
      <c r="AE129" s="28" t="n"/>
      <c r="AF129" s="30" t="n"/>
      <c r="AG129" s="27" t="n"/>
    </row>
    <row r="130">
      <c r="A130" s="25" t="n"/>
      <c r="B130" s="26">
        <f>IF(ISNUMBER(A130),TEXT(A130,"ddd"),"")</f>
        <v/>
      </c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8" t="n"/>
      <c r="M130" s="26">
        <f>IF(OR(L130="",AND(E130&lt;&gt;"Up",E130&lt;&gt;"Down")),"",IF(OR(L130="In line",L130="Mixed"),"Neutral data",IF(OR(AND(L130="Hotter",E130="Down"),AND(L130="Cooler",E130="Up")),"With data","Against data")))</f>
        <v/>
      </c>
      <c r="N130" s="28" t="n"/>
      <c r="O130" s="27" t="n"/>
      <c r="P130" s="27" t="n"/>
      <c r="Q130" s="28" t="n"/>
      <c r="R130" s="27" t="n"/>
      <c r="S130" s="29" t="n"/>
      <c r="T130" s="27" t="n"/>
      <c r="U130" s="27" t="n"/>
      <c r="V130" s="26">
        <f>IF(OR(AND(E130&lt;&gt;"Up",E130&lt;&gt;"Down"),NOT(ISNUMBER(S130)),IF(E130="Up",Q130,R130)=""),"",IF(S130&gt;=100,"Back to open",IF(OR(IF(E130="Up",Q130,R130)="1-5 min",IF(E130="Up",Q130,R130)="5-15 min"),"Continued",IF(S130&gt;=50,"Partial retrace","Stalled / chop"))))</f>
        <v/>
      </c>
      <c r="W130" s="26">
        <f>IF(OR(Q130="",R130=""),"",IFERROR(IF(AND(Q130="Not by 16:00",R130="Not by 16:00"),"Neither taken",IF(FIND("|"&amp;Q130&amp;"|","|1-5 min|5-15 min|15-60 min|9:30-11:00|11:00-16:00|Not by 16:00|")=FIND("|"&amp;R130&amp;"|","|1-5 min|5-15 min|15-60 min|9:30-11:00|11:00-16:00|Not by 16:00|"),"Same window",IF(FIND("|"&amp;Q130&amp;"|","|1-5 min|5-15 min|15-60 min|9:30-11:00|11:00-16:00|Not by 16:00|")&lt;FIND("|"&amp;R130&amp;"|","|1-5 min|5-15 min|15-60 min|9:30-11:00|11:00-16:00|Not by 16:00|"),IF(E130="Up","High first (main side)",IF(E130="Down","High first (wick side)","High first")),IF(E130="Down","Low first (main side)",IF(E130="Up","Low first (wick side)","Low first"))))),"Check entries"))</f>
        <v/>
      </c>
      <c r="X130" s="28" t="n"/>
      <c r="Y130" s="27" t="n"/>
      <c r="Z130" s="27" t="n"/>
      <c r="AA130" s="27" t="n"/>
      <c r="AB130" s="27" t="n"/>
      <c r="AC130" s="27" t="n"/>
      <c r="AD130" s="27" t="n"/>
      <c r="AE130" s="28" t="n"/>
      <c r="AF130" s="30" t="n"/>
      <c r="AG130" s="27" t="n"/>
    </row>
    <row r="131">
      <c r="A131" s="25" t="n"/>
      <c r="B131" s="26">
        <f>IF(ISNUMBER(A131),TEXT(A131,"ddd"),"")</f>
        <v/>
      </c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8" t="n"/>
      <c r="M131" s="26">
        <f>IF(OR(L131="",AND(E131&lt;&gt;"Up",E131&lt;&gt;"Down")),"",IF(OR(L131="In line",L131="Mixed"),"Neutral data",IF(OR(AND(L131="Hotter",E131="Down"),AND(L131="Cooler",E131="Up")),"With data","Against data")))</f>
        <v/>
      </c>
      <c r="N131" s="28" t="n"/>
      <c r="O131" s="27" t="n"/>
      <c r="P131" s="27" t="n"/>
      <c r="Q131" s="28" t="n"/>
      <c r="R131" s="27" t="n"/>
      <c r="S131" s="29" t="n"/>
      <c r="T131" s="27" t="n"/>
      <c r="U131" s="27" t="n"/>
      <c r="V131" s="26">
        <f>IF(OR(AND(E131&lt;&gt;"Up",E131&lt;&gt;"Down"),NOT(ISNUMBER(S131)),IF(E131="Up",Q131,R131)=""),"",IF(S131&gt;=100,"Back to open",IF(OR(IF(E131="Up",Q131,R131)="1-5 min",IF(E131="Up",Q131,R131)="5-15 min"),"Continued",IF(S131&gt;=50,"Partial retrace","Stalled / chop"))))</f>
        <v/>
      </c>
      <c r="W131" s="26">
        <f>IF(OR(Q131="",R131=""),"",IFERROR(IF(AND(Q131="Not by 16:00",R131="Not by 16:00"),"Neither taken",IF(FIND("|"&amp;Q131&amp;"|","|1-5 min|5-15 min|15-60 min|9:30-11:00|11:00-16:00|Not by 16:00|")=FIND("|"&amp;R131&amp;"|","|1-5 min|5-15 min|15-60 min|9:30-11:00|11:00-16:00|Not by 16:00|"),"Same window",IF(FIND("|"&amp;Q131&amp;"|","|1-5 min|5-15 min|15-60 min|9:30-11:00|11:00-16:00|Not by 16:00|")&lt;FIND("|"&amp;R131&amp;"|","|1-5 min|5-15 min|15-60 min|9:30-11:00|11:00-16:00|Not by 16:00|"),IF(E131="Up","High first (main side)",IF(E131="Down","High first (wick side)","High first")),IF(E131="Down","Low first (main side)",IF(E131="Up","Low first (wick side)","Low first"))))),"Check entries"))</f>
        <v/>
      </c>
      <c r="X131" s="28" t="n"/>
      <c r="Y131" s="27" t="n"/>
      <c r="Z131" s="27" t="n"/>
      <c r="AA131" s="27" t="n"/>
      <c r="AB131" s="27" t="n"/>
      <c r="AC131" s="27" t="n"/>
      <c r="AD131" s="27" t="n"/>
      <c r="AE131" s="28" t="n"/>
      <c r="AF131" s="30" t="n"/>
      <c r="AG131" s="27" t="n"/>
    </row>
    <row r="132">
      <c r="A132" s="25" t="n"/>
      <c r="B132" s="26">
        <f>IF(ISNUMBER(A132),TEXT(A132,"ddd"),"")</f>
        <v/>
      </c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8" t="n"/>
      <c r="M132" s="26">
        <f>IF(OR(L132="",AND(E132&lt;&gt;"Up",E132&lt;&gt;"Down")),"",IF(OR(L132="In line",L132="Mixed"),"Neutral data",IF(OR(AND(L132="Hotter",E132="Down"),AND(L132="Cooler",E132="Up")),"With data","Against data")))</f>
        <v/>
      </c>
      <c r="N132" s="28" t="n"/>
      <c r="O132" s="27" t="n"/>
      <c r="P132" s="27" t="n"/>
      <c r="Q132" s="28" t="n"/>
      <c r="R132" s="27" t="n"/>
      <c r="S132" s="29" t="n"/>
      <c r="T132" s="27" t="n"/>
      <c r="U132" s="27" t="n"/>
      <c r="V132" s="26">
        <f>IF(OR(AND(E132&lt;&gt;"Up",E132&lt;&gt;"Down"),NOT(ISNUMBER(S132)),IF(E132="Up",Q132,R132)=""),"",IF(S132&gt;=100,"Back to open",IF(OR(IF(E132="Up",Q132,R132)="1-5 min",IF(E132="Up",Q132,R132)="5-15 min"),"Continued",IF(S132&gt;=50,"Partial retrace","Stalled / chop"))))</f>
        <v/>
      </c>
      <c r="W132" s="26">
        <f>IF(OR(Q132="",R132=""),"",IFERROR(IF(AND(Q132="Not by 16:00",R132="Not by 16:00"),"Neither taken",IF(FIND("|"&amp;Q132&amp;"|","|1-5 min|5-15 min|15-60 min|9:30-11:00|11:00-16:00|Not by 16:00|")=FIND("|"&amp;R132&amp;"|","|1-5 min|5-15 min|15-60 min|9:30-11:00|11:00-16:00|Not by 16:00|"),"Same window",IF(FIND("|"&amp;Q132&amp;"|","|1-5 min|5-15 min|15-60 min|9:30-11:00|11:00-16:00|Not by 16:00|")&lt;FIND("|"&amp;R132&amp;"|","|1-5 min|5-15 min|15-60 min|9:30-11:00|11:00-16:00|Not by 16:00|"),IF(E132="Up","High first (main side)",IF(E132="Down","High first (wick side)","High first")),IF(E132="Down","Low first (main side)",IF(E132="Up","Low first (wick side)","Low first"))))),"Check entries"))</f>
        <v/>
      </c>
      <c r="X132" s="28" t="n"/>
      <c r="Y132" s="27" t="n"/>
      <c r="Z132" s="27" t="n"/>
      <c r="AA132" s="27" t="n"/>
      <c r="AB132" s="27" t="n"/>
      <c r="AC132" s="27" t="n"/>
      <c r="AD132" s="27" t="n"/>
      <c r="AE132" s="28" t="n"/>
      <c r="AF132" s="30" t="n"/>
      <c r="AG132" s="27" t="n"/>
    </row>
    <row r="133">
      <c r="A133" s="25" t="n"/>
      <c r="B133" s="26">
        <f>IF(ISNUMBER(A133),TEXT(A133,"ddd"),"")</f>
        <v/>
      </c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8" t="n"/>
      <c r="M133" s="26">
        <f>IF(OR(L133="",AND(E133&lt;&gt;"Up",E133&lt;&gt;"Down")),"",IF(OR(L133="In line",L133="Mixed"),"Neutral data",IF(OR(AND(L133="Hotter",E133="Down"),AND(L133="Cooler",E133="Up")),"With data","Against data")))</f>
        <v/>
      </c>
      <c r="N133" s="28" t="n"/>
      <c r="O133" s="27" t="n"/>
      <c r="P133" s="27" t="n"/>
      <c r="Q133" s="28" t="n"/>
      <c r="R133" s="27" t="n"/>
      <c r="S133" s="29" t="n"/>
      <c r="T133" s="27" t="n"/>
      <c r="U133" s="27" t="n"/>
      <c r="V133" s="26">
        <f>IF(OR(AND(E133&lt;&gt;"Up",E133&lt;&gt;"Down"),NOT(ISNUMBER(S133)),IF(E133="Up",Q133,R133)=""),"",IF(S133&gt;=100,"Back to open",IF(OR(IF(E133="Up",Q133,R133)="1-5 min",IF(E133="Up",Q133,R133)="5-15 min"),"Continued",IF(S133&gt;=50,"Partial retrace","Stalled / chop"))))</f>
        <v/>
      </c>
      <c r="W133" s="26">
        <f>IF(OR(Q133="",R133=""),"",IFERROR(IF(AND(Q133="Not by 16:00",R133="Not by 16:00"),"Neither taken",IF(FIND("|"&amp;Q133&amp;"|","|1-5 min|5-15 min|15-60 min|9:30-11:00|11:00-16:00|Not by 16:00|")=FIND("|"&amp;R133&amp;"|","|1-5 min|5-15 min|15-60 min|9:30-11:00|11:00-16:00|Not by 16:00|"),"Same window",IF(FIND("|"&amp;Q133&amp;"|","|1-5 min|5-15 min|15-60 min|9:30-11:00|11:00-16:00|Not by 16:00|")&lt;FIND("|"&amp;R133&amp;"|","|1-5 min|5-15 min|15-60 min|9:30-11:00|11:00-16:00|Not by 16:00|"),IF(E133="Up","High first (main side)",IF(E133="Down","High first (wick side)","High first")),IF(E133="Down","Low first (main side)",IF(E133="Up","Low first (wick side)","Low first"))))),"Check entries"))</f>
        <v/>
      </c>
      <c r="X133" s="28" t="n"/>
      <c r="Y133" s="27" t="n"/>
      <c r="Z133" s="27" t="n"/>
      <c r="AA133" s="27" t="n"/>
      <c r="AB133" s="27" t="n"/>
      <c r="AC133" s="27" t="n"/>
      <c r="AD133" s="27" t="n"/>
      <c r="AE133" s="28" t="n"/>
      <c r="AF133" s="30" t="n"/>
      <c r="AG133" s="27" t="n"/>
    </row>
    <row r="134">
      <c r="A134" s="25" t="n"/>
      <c r="B134" s="26">
        <f>IF(ISNUMBER(A134),TEXT(A134,"ddd"),"")</f>
        <v/>
      </c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8" t="n"/>
      <c r="M134" s="26">
        <f>IF(OR(L134="",AND(E134&lt;&gt;"Up",E134&lt;&gt;"Down")),"",IF(OR(L134="In line",L134="Mixed"),"Neutral data",IF(OR(AND(L134="Hotter",E134="Down"),AND(L134="Cooler",E134="Up")),"With data","Against data")))</f>
        <v/>
      </c>
      <c r="N134" s="28" t="n"/>
      <c r="O134" s="27" t="n"/>
      <c r="P134" s="27" t="n"/>
      <c r="Q134" s="28" t="n"/>
      <c r="R134" s="27" t="n"/>
      <c r="S134" s="29" t="n"/>
      <c r="T134" s="27" t="n"/>
      <c r="U134" s="27" t="n"/>
      <c r="V134" s="26">
        <f>IF(OR(AND(E134&lt;&gt;"Up",E134&lt;&gt;"Down"),NOT(ISNUMBER(S134)),IF(E134="Up",Q134,R134)=""),"",IF(S134&gt;=100,"Back to open",IF(OR(IF(E134="Up",Q134,R134)="1-5 min",IF(E134="Up",Q134,R134)="5-15 min"),"Continued",IF(S134&gt;=50,"Partial retrace","Stalled / chop"))))</f>
        <v/>
      </c>
      <c r="W134" s="26">
        <f>IF(OR(Q134="",R134=""),"",IFERROR(IF(AND(Q134="Not by 16:00",R134="Not by 16:00"),"Neither taken",IF(FIND("|"&amp;Q134&amp;"|","|1-5 min|5-15 min|15-60 min|9:30-11:00|11:00-16:00|Not by 16:00|")=FIND("|"&amp;R134&amp;"|","|1-5 min|5-15 min|15-60 min|9:30-11:00|11:00-16:00|Not by 16:00|"),"Same window",IF(FIND("|"&amp;Q134&amp;"|","|1-5 min|5-15 min|15-60 min|9:30-11:00|11:00-16:00|Not by 16:00|")&lt;FIND("|"&amp;R134&amp;"|","|1-5 min|5-15 min|15-60 min|9:30-11:00|11:00-16:00|Not by 16:00|"),IF(E134="Up","High first (main side)",IF(E134="Down","High first (wick side)","High first")),IF(E134="Down","Low first (main side)",IF(E134="Up","Low first (wick side)","Low first"))))),"Check entries"))</f>
        <v/>
      </c>
      <c r="X134" s="28" t="n"/>
      <c r="Y134" s="27" t="n"/>
      <c r="Z134" s="27" t="n"/>
      <c r="AA134" s="27" t="n"/>
      <c r="AB134" s="27" t="n"/>
      <c r="AC134" s="27" t="n"/>
      <c r="AD134" s="27" t="n"/>
      <c r="AE134" s="28" t="n"/>
      <c r="AF134" s="30" t="n"/>
      <c r="AG134" s="27" t="n"/>
    </row>
    <row r="135">
      <c r="A135" s="25" t="n"/>
      <c r="B135" s="26">
        <f>IF(ISNUMBER(A135),TEXT(A135,"ddd"),"")</f>
        <v/>
      </c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8" t="n"/>
      <c r="M135" s="26">
        <f>IF(OR(L135="",AND(E135&lt;&gt;"Up",E135&lt;&gt;"Down")),"",IF(OR(L135="In line",L135="Mixed"),"Neutral data",IF(OR(AND(L135="Hotter",E135="Down"),AND(L135="Cooler",E135="Up")),"With data","Against data")))</f>
        <v/>
      </c>
      <c r="N135" s="28" t="n"/>
      <c r="O135" s="27" t="n"/>
      <c r="P135" s="27" t="n"/>
      <c r="Q135" s="28" t="n"/>
      <c r="R135" s="27" t="n"/>
      <c r="S135" s="29" t="n"/>
      <c r="T135" s="27" t="n"/>
      <c r="U135" s="27" t="n"/>
      <c r="V135" s="26">
        <f>IF(OR(AND(E135&lt;&gt;"Up",E135&lt;&gt;"Down"),NOT(ISNUMBER(S135)),IF(E135="Up",Q135,R135)=""),"",IF(S135&gt;=100,"Back to open",IF(OR(IF(E135="Up",Q135,R135)="1-5 min",IF(E135="Up",Q135,R135)="5-15 min"),"Continued",IF(S135&gt;=50,"Partial retrace","Stalled / chop"))))</f>
        <v/>
      </c>
      <c r="W135" s="26">
        <f>IF(OR(Q135="",R135=""),"",IFERROR(IF(AND(Q135="Not by 16:00",R135="Not by 16:00"),"Neither taken",IF(FIND("|"&amp;Q135&amp;"|","|1-5 min|5-15 min|15-60 min|9:30-11:00|11:00-16:00|Not by 16:00|")=FIND("|"&amp;R135&amp;"|","|1-5 min|5-15 min|15-60 min|9:30-11:00|11:00-16:00|Not by 16:00|"),"Same window",IF(FIND("|"&amp;Q135&amp;"|","|1-5 min|5-15 min|15-60 min|9:30-11:00|11:00-16:00|Not by 16:00|")&lt;FIND("|"&amp;R135&amp;"|","|1-5 min|5-15 min|15-60 min|9:30-11:00|11:00-16:00|Not by 16:00|"),IF(E135="Up","High first (main side)",IF(E135="Down","High first (wick side)","High first")),IF(E135="Down","Low first (main side)",IF(E135="Up","Low first (wick side)","Low first"))))),"Check entries"))</f>
        <v/>
      </c>
      <c r="X135" s="28" t="n"/>
      <c r="Y135" s="27" t="n"/>
      <c r="Z135" s="27" t="n"/>
      <c r="AA135" s="27" t="n"/>
      <c r="AB135" s="27" t="n"/>
      <c r="AC135" s="27" t="n"/>
      <c r="AD135" s="27" t="n"/>
      <c r="AE135" s="28" t="n"/>
      <c r="AF135" s="30" t="n"/>
      <c r="AG135" s="27" t="n"/>
    </row>
    <row r="136">
      <c r="A136" s="25" t="n"/>
      <c r="B136" s="26">
        <f>IF(ISNUMBER(A136),TEXT(A136,"ddd"),"")</f>
        <v/>
      </c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8" t="n"/>
      <c r="M136" s="26">
        <f>IF(OR(L136="",AND(E136&lt;&gt;"Up",E136&lt;&gt;"Down")),"",IF(OR(L136="In line",L136="Mixed"),"Neutral data",IF(OR(AND(L136="Hotter",E136="Down"),AND(L136="Cooler",E136="Up")),"With data","Against data")))</f>
        <v/>
      </c>
      <c r="N136" s="28" t="n"/>
      <c r="O136" s="27" t="n"/>
      <c r="P136" s="27" t="n"/>
      <c r="Q136" s="28" t="n"/>
      <c r="R136" s="27" t="n"/>
      <c r="S136" s="29" t="n"/>
      <c r="T136" s="27" t="n"/>
      <c r="U136" s="27" t="n"/>
      <c r="V136" s="26">
        <f>IF(OR(AND(E136&lt;&gt;"Up",E136&lt;&gt;"Down"),NOT(ISNUMBER(S136)),IF(E136="Up",Q136,R136)=""),"",IF(S136&gt;=100,"Back to open",IF(OR(IF(E136="Up",Q136,R136)="1-5 min",IF(E136="Up",Q136,R136)="5-15 min"),"Continued",IF(S136&gt;=50,"Partial retrace","Stalled / chop"))))</f>
        <v/>
      </c>
      <c r="W136" s="26">
        <f>IF(OR(Q136="",R136=""),"",IFERROR(IF(AND(Q136="Not by 16:00",R136="Not by 16:00"),"Neither taken",IF(FIND("|"&amp;Q136&amp;"|","|1-5 min|5-15 min|15-60 min|9:30-11:00|11:00-16:00|Not by 16:00|")=FIND("|"&amp;R136&amp;"|","|1-5 min|5-15 min|15-60 min|9:30-11:00|11:00-16:00|Not by 16:00|"),"Same window",IF(FIND("|"&amp;Q136&amp;"|","|1-5 min|5-15 min|15-60 min|9:30-11:00|11:00-16:00|Not by 16:00|")&lt;FIND("|"&amp;R136&amp;"|","|1-5 min|5-15 min|15-60 min|9:30-11:00|11:00-16:00|Not by 16:00|"),IF(E136="Up","High first (main side)",IF(E136="Down","High first (wick side)","High first")),IF(E136="Down","Low first (main side)",IF(E136="Up","Low first (wick side)","Low first"))))),"Check entries"))</f>
        <v/>
      </c>
      <c r="X136" s="28" t="n"/>
      <c r="Y136" s="27" t="n"/>
      <c r="Z136" s="27" t="n"/>
      <c r="AA136" s="27" t="n"/>
      <c r="AB136" s="27" t="n"/>
      <c r="AC136" s="27" t="n"/>
      <c r="AD136" s="27" t="n"/>
      <c r="AE136" s="28" t="n"/>
      <c r="AF136" s="30" t="n"/>
      <c r="AG136" s="27" t="n"/>
    </row>
    <row r="137">
      <c r="A137" s="25" t="n"/>
      <c r="B137" s="26">
        <f>IF(ISNUMBER(A137),TEXT(A137,"ddd"),"")</f>
        <v/>
      </c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8" t="n"/>
      <c r="M137" s="26">
        <f>IF(OR(L137="",AND(E137&lt;&gt;"Up",E137&lt;&gt;"Down")),"",IF(OR(L137="In line",L137="Mixed"),"Neutral data",IF(OR(AND(L137="Hotter",E137="Down"),AND(L137="Cooler",E137="Up")),"With data","Against data")))</f>
        <v/>
      </c>
      <c r="N137" s="28" t="n"/>
      <c r="O137" s="27" t="n"/>
      <c r="P137" s="27" t="n"/>
      <c r="Q137" s="28" t="n"/>
      <c r="R137" s="27" t="n"/>
      <c r="S137" s="29" t="n"/>
      <c r="T137" s="27" t="n"/>
      <c r="U137" s="27" t="n"/>
      <c r="V137" s="26">
        <f>IF(OR(AND(E137&lt;&gt;"Up",E137&lt;&gt;"Down"),NOT(ISNUMBER(S137)),IF(E137="Up",Q137,R137)=""),"",IF(S137&gt;=100,"Back to open",IF(OR(IF(E137="Up",Q137,R137)="1-5 min",IF(E137="Up",Q137,R137)="5-15 min"),"Continued",IF(S137&gt;=50,"Partial retrace","Stalled / chop"))))</f>
        <v/>
      </c>
      <c r="W137" s="26">
        <f>IF(OR(Q137="",R137=""),"",IFERROR(IF(AND(Q137="Not by 16:00",R137="Not by 16:00"),"Neither taken",IF(FIND("|"&amp;Q137&amp;"|","|1-5 min|5-15 min|15-60 min|9:30-11:00|11:00-16:00|Not by 16:00|")=FIND("|"&amp;R137&amp;"|","|1-5 min|5-15 min|15-60 min|9:30-11:00|11:00-16:00|Not by 16:00|"),"Same window",IF(FIND("|"&amp;Q137&amp;"|","|1-5 min|5-15 min|15-60 min|9:30-11:00|11:00-16:00|Not by 16:00|")&lt;FIND("|"&amp;R137&amp;"|","|1-5 min|5-15 min|15-60 min|9:30-11:00|11:00-16:00|Not by 16:00|"),IF(E137="Up","High first (main side)",IF(E137="Down","High first (wick side)","High first")),IF(E137="Down","Low first (main side)",IF(E137="Up","Low first (wick side)","Low first"))))),"Check entries"))</f>
        <v/>
      </c>
      <c r="X137" s="28" t="n"/>
      <c r="Y137" s="27" t="n"/>
      <c r="Z137" s="27" t="n"/>
      <c r="AA137" s="27" t="n"/>
      <c r="AB137" s="27" t="n"/>
      <c r="AC137" s="27" t="n"/>
      <c r="AD137" s="27" t="n"/>
      <c r="AE137" s="28" t="n"/>
      <c r="AF137" s="30" t="n"/>
      <c r="AG137" s="27" t="n"/>
    </row>
    <row r="138">
      <c r="A138" s="25" t="n"/>
      <c r="B138" s="26">
        <f>IF(ISNUMBER(A138),TEXT(A138,"ddd"),"")</f>
        <v/>
      </c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8" t="n"/>
      <c r="M138" s="26">
        <f>IF(OR(L138="",AND(E138&lt;&gt;"Up",E138&lt;&gt;"Down")),"",IF(OR(L138="In line",L138="Mixed"),"Neutral data",IF(OR(AND(L138="Hotter",E138="Down"),AND(L138="Cooler",E138="Up")),"With data","Against data")))</f>
        <v/>
      </c>
      <c r="N138" s="28" t="n"/>
      <c r="O138" s="27" t="n"/>
      <c r="P138" s="27" t="n"/>
      <c r="Q138" s="28" t="n"/>
      <c r="R138" s="27" t="n"/>
      <c r="S138" s="29" t="n"/>
      <c r="T138" s="27" t="n"/>
      <c r="U138" s="27" t="n"/>
      <c r="V138" s="26">
        <f>IF(OR(AND(E138&lt;&gt;"Up",E138&lt;&gt;"Down"),NOT(ISNUMBER(S138)),IF(E138="Up",Q138,R138)=""),"",IF(S138&gt;=100,"Back to open",IF(OR(IF(E138="Up",Q138,R138)="1-5 min",IF(E138="Up",Q138,R138)="5-15 min"),"Continued",IF(S138&gt;=50,"Partial retrace","Stalled / chop"))))</f>
        <v/>
      </c>
      <c r="W138" s="26">
        <f>IF(OR(Q138="",R138=""),"",IFERROR(IF(AND(Q138="Not by 16:00",R138="Not by 16:00"),"Neither taken",IF(FIND("|"&amp;Q138&amp;"|","|1-5 min|5-15 min|15-60 min|9:30-11:00|11:00-16:00|Not by 16:00|")=FIND("|"&amp;R138&amp;"|","|1-5 min|5-15 min|15-60 min|9:30-11:00|11:00-16:00|Not by 16:00|"),"Same window",IF(FIND("|"&amp;Q138&amp;"|","|1-5 min|5-15 min|15-60 min|9:30-11:00|11:00-16:00|Not by 16:00|")&lt;FIND("|"&amp;R138&amp;"|","|1-5 min|5-15 min|15-60 min|9:30-11:00|11:00-16:00|Not by 16:00|"),IF(E138="Up","High first (main side)",IF(E138="Down","High first (wick side)","High first")),IF(E138="Down","Low first (main side)",IF(E138="Up","Low first (wick side)","Low first"))))),"Check entries"))</f>
        <v/>
      </c>
      <c r="X138" s="28" t="n"/>
      <c r="Y138" s="27" t="n"/>
      <c r="Z138" s="27" t="n"/>
      <c r="AA138" s="27" t="n"/>
      <c r="AB138" s="27" t="n"/>
      <c r="AC138" s="27" t="n"/>
      <c r="AD138" s="27" t="n"/>
      <c r="AE138" s="28" t="n"/>
      <c r="AF138" s="30" t="n"/>
      <c r="AG138" s="27" t="n"/>
    </row>
    <row r="139">
      <c r="A139" s="25" t="n"/>
      <c r="B139" s="26">
        <f>IF(ISNUMBER(A139),TEXT(A139,"ddd"),"")</f>
        <v/>
      </c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8" t="n"/>
      <c r="M139" s="26">
        <f>IF(OR(L139="",AND(E139&lt;&gt;"Up",E139&lt;&gt;"Down")),"",IF(OR(L139="In line",L139="Mixed"),"Neutral data",IF(OR(AND(L139="Hotter",E139="Down"),AND(L139="Cooler",E139="Up")),"With data","Against data")))</f>
        <v/>
      </c>
      <c r="N139" s="28" t="n"/>
      <c r="O139" s="27" t="n"/>
      <c r="P139" s="27" t="n"/>
      <c r="Q139" s="28" t="n"/>
      <c r="R139" s="27" t="n"/>
      <c r="S139" s="29" t="n"/>
      <c r="T139" s="27" t="n"/>
      <c r="U139" s="27" t="n"/>
      <c r="V139" s="26">
        <f>IF(OR(AND(E139&lt;&gt;"Up",E139&lt;&gt;"Down"),NOT(ISNUMBER(S139)),IF(E139="Up",Q139,R139)=""),"",IF(S139&gt;=100,"Back to open",IF(OR(IF(E139="Up",Q139,R139)="1-5 min",IF(E139="Up",Q139,R139)="5-15 min"),"Continued",IF(S139&gt;=50,"Partial retrace","Stalled / chop"))))</f>
        <v/>
      </c>
      <c r="W139" s="26">
        <f>IF(OR(Q139="",R139=""),"",IFERROR(IF(AND(Q139="Not by 16:00",R139="Not by 16:00"),"Neither taken",IF(FIND("|"&amp;Q139&amp;"|","|1-5 min|5-15 min|15-60 min|9:30-11:00|11:00-16:00|Not by 16:00|")=FIND("|"&amp;R139&amp;"|","|1-5 min|5-15 min|15-60 min|9:30-11:00|11:00-16:00|Not by 16:00|"),"Same window",IF(FIND("|"&amp;Q139&amp;"|","|1-5 min|5-15 min|15-60 min|9:30-11:00|11:00-16:00|Not by 16:00|")&lt;FIND("|"&amp;R139&amp;"|","|1-5 min|5-15 min|15-60 min|9:30-11:00|11:00-16:00|Not by 16:00|"),IF(E139="Up","High first (main side)",IF(E139="Down","High first (wick side)","High first")),IF(E139="Down","Low first (main side)",IF(E139="Up","Low first (wick side)","Low first"))))),"Check entries"))</f>
        <v/>
      </c>
      <c r="X139" s="28" t="n"/>
      <c r="Y139" s="27" t="n"/>
      <c r="Z139" s="27" t="n"/>
      <c r="AA139" s="27" t="n"/>
      <c r="AB139" s="27" t="n"/>
      <c r="AC139" s="27" t="n"/>
      <c r="AD139" s="27" t="n"/>
      <c r="AE139" s="28" t="n"/>
      <c r="AF139" s="30" t="n"/>
      <c r="AG139" s="27" t="n"/>
    </row>
    <row r="140">
      <c r="A140" s="25" t="n"/>
      <c r="B140" s="26">
        <f>IF(ISNUMBER(A140),TEXT(A140,"ddd"),"")</f>
        <v/>
      </c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8" t="n"/>
      <c r="M140" s="26">
        <f>IF(OR(L140="",AND(E140&lt;&gt;"Up",E140&lt;&gt;"Down")),"",IF(OR(L140="In line",L140="Mixed"),"Neutral data",IF(OR(AND(L140="Hotter",E140="Down"),AND(L140="Cooler",E140="Up")),"With data","Against data")))</f>
        <v/>
      </c>
      <c r="N140" s="28" t="n"/>
      <c r="O140" s="27" t="n"/>
      <c r="P140" s="27" t="n"/>
      <c r="Q140" s="28" t="n"/>
      <c r="R140" s="27" t="n"/>
      <c r="S140" s="29" t="n"/>
      <c r="T140" s="27" t="n"/>
      <c r="U140" s="27" t="n"/>
      <c r="V140" s="26">
        <f>IF(OR(AND(E140&lt;&gt;"Up",E140&lt;&gt;"Down"),NOT(ISNUMBER(S140)),IF(E140="Up",Q140,R140)=""),"",IF(S140&gt;=100,"Back to open",IF(OR(IF(E140="Up",Q140,R140)="1-5 min",IF(E140="Up",Q140,R140)="5-15 min"),"Continued",IF(S140&gt;=50,"Partial retrace","Stalled / chop"))))</f>
        <v/>
      </c>
      <c r="W140" s="26">
        <f>IF(OR(Q140="",R140=""),"",IFERROR(IF(AND(Q140="Not by 16:00",R140="Not by 16:00"),"Neither taken",IF(FIND("|"&amp;Q140&amp;"|","|1-5 min|5-15 min|15-60 min|9:30-11:00|11:00-16:00|Not by 16:00|")=FIND("|"&amp;R140&amp;"|","|1-5 min|5-15 min|15-60 min|9:30-11:00|11:00-16:00|Not by 16:00|"),"Same window",IF(FIND("|"&amp;Q140&amp;"|","|1-5 min|5-15 min|15-60 min|9:30-11:00|11:00-16:00|Not by 16:00|")&lt;FIND("|"&amp;R140&amp;"|","|1-5 min|5-15 min|15-60 min|9:30-11:00|11:00-16:00|Not by 16:00|"),IF(E140="Up","High first (main side)",IF(E140="Down","High first (wick side)","High first")),IF(E140="Down","Low first (main side)",IF(E140="Up","Low first (wick side)","Low first"))))),"Check entries"))</f>
        <v/>
      </c>
      <c r="X140" s="28" t="n"/>
      <c r="Y140" s="27" t="n"/>
      <c r="Z140" s="27" t="n"/>
      <c r="AA140" s="27" t="n"/>
      <c r="AB140" s="27" t="n"/>
      <c r="AC140" s="27" t="n"/>
      <c r="AD140" s="27" t="n"/>
      <c r="AE140" s="28" t="n"/>
      <c r="AF140" s="30" t="n"/>
      <c r="AG140" s="27" t="n"/>
    </row>
    <row r="141">
      <c r="A141" s="25" t="n"/>
      <c r="B141" s="26">
        <f>IF(ISNUMBER(A141),TEXT(A141,"ddd"),"")</f>
        <v/>
      </c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8" t="n"/>
      <c r="M141" s="26">
        <f>IF(OR(L141="",AND(E141&lt;&gt;"Up",E141&lt;&gt;"Down")),"",IF(OR(L141="In line",L141="Mixed"),"Neutral data",IF(OR(AND(L141="Hotter",E141="Down"),AND(L141="Cooler",E141="Up")),"With data","Against data")))</f>
        <v/>
      </c>
      <c r="N141" s="28" t="n"/>
      <c r="O141" s="27" t="n"/>
      <c r="P141" s="27" t="n"/>
      <c r="Q141" s="28" t="n"/>
      <c r="R141" s="27" t="n"/>
      <c r="S141" s="29" t="n"/>
      <c r="T141" s="27" t="n"/>
      <c r="U141" s="27" t="n"/>
      <c r="V141" s="26">
        <f>IF(OR(AND(E141&lt;&gt;"Up",E141&lt;&gt;"Down"),NOT(ISNUMBER(S141)),IF(E141="Up",Q141,R141)=""),"",IF(S141&gt;=100,"Back to open",IF(OR(IF(E141="Up",Q141,R141)="1-5 min",IF(E141="Up",Q141,R141)="5-15 min"),"Continued",IF(S141&gt;=50,"Partial retrace","Stalled / chop"))))</f>
        <v/>
      </c>
      <c r="W141" s="26">
        <f>IF(OR(Q141="",R141=""),"",IFERROR(IF(AND(Q141="Not by 16:00",R141="Not by 16:00"),"Neither taken",IF(FIND("|"&amp;Q141&amp;"|","|1-5 min|5-15 min|15-60 min|9:30-11:00|11:00-16:00|Not by 16:00|")=FIND("|"&amp;R141&amp;"|","|1-5 min|5-15 min|15-60 min|9:30-11:00|11:00-16:00|Not by 16:00|"),"Same window",IF(FIND("|"&amp;Q141&amp;"|","|1-5 min|5-15 min|15-60 min|9:30-11:00|11:00-16:00|Not by 16:00|")&lt;FIND("|"&amp;R141&amp;"|","|1-5 min|5-15 min|15-60 min|9:30-11:00|11:00-16:00|Not by 16:00|"),IF(E141="Up","High first (main side)",IF(E141="Down","High first (wick side)","High first")),IF(E141="Down","Low first (main side)",IF(E141="Up","Low first (wick side)","Low first"))))),"Check entries"))</f>
        <v/>
      </c>
      <c r="X141" s="28" t="n"/>
      <c r="Y141" s="27" t="n"/>
      <c r="Z141" s="27" t="n"/>
      <c r="AA141" s="27" t="n"/>
      <c r="AB141" s="27" t="n"/>
      <c r="AC141" s="27" t="n"/>
      <c r="AD141" s="27" t="n"/>
      <c r="AE141" s="28" t="n"/>
      <c r="AF141" s="30" t="n"/>
      <c r="AG141" s="27" t="n"/>
    </row>
    <row r="142">
      <c r="A142" s="25" t="n"/>
      <c r="B142" s="26">
        <f>IF(ISNUMBER(A142),TEXT(A142,"ddd"),"")</f>
        <v/>
      </c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8" t="n"/>
      <c r="M142" s="26">
        <f>IF(OR(L142="",AND(E142&lt;&gt;"Up",E142&lt;&gt;"Down")),"",IF(OR(L142="In line",L142="Mixed"),"Neutral data",IF(OR(AND(L142="Hotter",E142="Down"),AND(L142="Cooler",E142="Up")),"With data","Against data")))</f>
        <v/>
      </c>
      <c r="N142" s="28" t="n"/>
      <c r="O142" s="27" t="n"/>
      <c r="P142" s="27" t="n"/>
      <c r="Q142" s="28" t="n"/>
      <c r="R142" s="27" t="n"/>
      <c r="S142" s="29" t="n"/>
      <c r="T142" s="27" t="n"/>
      <c r="U142" s="27" t="n"/>
      <c r="V142" s="26">
        <f>IF(OR(AND(E142&lt;&gt;"Up",E142&lt;&gt;"Down"),NOT(ISNUMBER(S142)),IF(E142="Up",Q142,R142)=""),"",IF(S142&gt;=100,"Back to open",IF(OR(IF(E142="Up",Q142,R142)="1-5 min",IF(E142="Up",Q142,R142)="5-15 min"),"Continued",IF(S142&gt;=50,"Partial retrace","Stalled / chop"))))</f>
        <v/>
      </c>
      <c r="W142" s="26">
        <f>IF(OR(Q142="",R142=""),"",IFERROR(IF(AND(Q142="Not by 16:00",R142="Not by 16:00"),"Neither taken",IF(FIND("|"&amp;Q142&amp;"|","|1-5 min|5-15 min|15-60 min|9:30-11:00|11:00-16:00|Not by 16:00|")=FIND("|"&amp;R142&amp;"|","|1-5 min|5-15 min|15-60 min|9:30-11:00|11:00-16:00|Not by 16:00|"),"Same window",IF(FIND("|"&amp;Q142&amp;"|","|1-5 min|5-15 min|15-60 min|9:30-11:00|11:00-16:00|Not by 16:00|")&lt;FIND("|"&amp;R142&amp;"|","|1-5 min|5-15 min|15-60 min|9:30-11:00|11:00-16:00|Not by 16:00|"),IF(E142="Up","High first (main side)",IF(E142="Down","High first (wick side)","High first")),IF(E142="Down","Low first (main side)",IF(E142="Up","Low first (wick side)","Low first"))))),"Check entries"))</f>
        <v/>
      </c>
      <c r="X142" s="28" t="n"/>
      <c r="Y142" s="27" t="n"/>
      <c r="Z142" s="27" t="n"/>
      <c r="AA142" s="27" t="n"/>
      <c r="AB142" s="27" t="n"/>
      <c r="AC142" s="27" t="n"/>
      <c r="AD142" s="27" t="n"/>
      <c r="AE142" s="28" t="n"/>
      <c r="AF142" s="30" t="n"/>
      <c r="AG142" s="27" t="n"/>
    </row>
    <row r="143">
      <c r="A143" s="25" t="n"/>
      <c r="B143" s="26">
        <f>IF(ISNUMBER(A143),TEXT(A143,"ddd"),"")</f>
        <v/>
      </c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8" t="n"/>
      <c r="M143" s="26">
        <f>IF(OR(L143="",AND(E143&lt;&gt;"Up",E143&lt;&gt;"Down")),"",IF(OR(L143="In line",L143="Mixed"),"Neutral data",IF(OR(AND(L143="Hotter",E143="Down"),AND(L143="Cooler",E143="Up")),"With data","Against data")))</f>
        <v/>
      </c>
      <c r="N143" s="28" t="n"/>
      <c r="O143" s="27" t="n"/>
      <c r="P143" s="27" t="n"/>
      <c r="Q143" s="28" t="n"/>
      <c r="R143" s="27" t="n"/>
      <c r="S143" s="29" t="n"/>
      <c r="T143" s="27" t="n"/>
      <c r="U143" s="27" t="n"/>
      <c r="V143" s="26">
        <f>IF(OR(AND(E143&lt;&gt;"Up",E143&lt;&gt;"Down"),NOT(ISNUMBER(S143)),IF(E143="Up",Q143,R143)=""),"",IF(S143&gt;=100,"Back to open",IF(OR(IF(E143="Up",Q143,R143)="1-5 min",IF(E143="Up",Q143,R143)="5-15 min"),"Continued",IF(S143&gt;=50,"Partial retrace","Stalled / chop"))))</f>
        <v/>
      </c>
      <c r="W143" s="26">
        <f>IF(OR(Q143="",R143=""),"",IFERROR(IF(AND(Q143="Not by 16:00",R143="Not by 16:00"),"Neither taken",IF(FIND("|"&amp;Q143&amp;"|","|1-5 min|5-15 min|15-60 min|9:30-11:00|11:00-16:00|Not by 16:00|")=FIND("|"&amp;R143&amp;"|","|1-5 min|5-15 min|15-60 min|9:30-11:00|11:00-16:00|Not by 16:00|"),"Same window",IF(FIND("|"&amp;Q143&amp;"|","|1-5 min|5-15 min|15-60 min|9:30-11:00|11:00-16:00|Not by 16:00|")&lt;FIND("|"&amp;R143&amp;"|","|1-5 min|5-15 min|15-60 min|9:30-11:00|11:00-16:00|Not by 16:00|"),IF(E143="Up","High first (main side)",IF(E143="Down","High first (wick side)","High first")),IF(E143="Down","Low first (main side)",IF(E143="Up","Low first (wick side)","Low first"))))),"Check entries"))</f>
        <v/>
      </c>
      <c r="X143" s="28" t="n"/>
      <c r="Y143" s="27" t="n"/>
      <c r="Z143" s="27" t="n"/>
      <c r="AA143" s="27" t="n"/>
      <c r="AB143" s="27" t="n"/>
      <c r="AC143" s="27" t="n"/>
      <c r="AD143" s="27" t="n"/>
      <c r="AE143" s="28" t="n"/>
      <c r="AF143" s="30" t="n"/>
      <c r="AG143" s="27" t="n"/>
    </row>
    <row r="144">
      <c r="A144" s="25" t="n"/>
      <c r="B144" s="26">
        <f>IF(ISNUMBER(A144),TEXT(A144,"ddd"),"")</f>
        <v/>
      </c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8" t="n"/>
      <c r="M144" s="26">
        <f>IF(OR(L144="",AND(E144&lt;&gt;"Up",E144&lt;&gt;"Down")),"",IF(OR(L144="In line",L144="Mixed"),"Neutral data",IF(OR(AND(L144="Hotter",E144="Down"),AND(L144="Cooler",E144="Up")),"With data","Against data")))</f>
        <v/>
      </c>
      <c r="N144" s="28" t="n"/>
      <c r="O144" s="27" t="n"/>
      <c r="P144" s="27" t="n"/>
      <c r="Q144" s="28" t="n"/>
      <c r="R144" s="27" t="n"/>
      <c r="S144" s="29" t="n"/>
      <c r="T144" s="27" t="n"/>
      <c r="U144" s="27" t="n"/>
      <c r="V144" s="26">
        <f>IF(OR(AND(E144&lt;&gt;"Up",E144&lt;&gt;"Down"),NOT(ISNUMBER(S144)),IF(E144="Up",Q144,R144)=""),"",IF(S144&gt;=100,"Back to open",IF(OR(IF(E144="Up",Q144,R144)="1-5 min",IF(E144="Up",Q144,R144)="5-15 min"),"Continued",IF(S144&gt;=50,"Partial retrace","Stalled / chop"))))</f>
        <v/>
      </c>
      <c r="W144" s="26">
        <f>IF(OR(Q144="",R144=""),"",IFERROR(IF(AND(Q144="Not by 16:00",R144="Not by 16:00"),"Neither taken",IF(FIND("|"&amp;Q144&amp;"|","|1-5 min|5-15 min|15-60 min|9:30-11:00|11:00-16:00|Not by 16:00|")=FIND("|"&amp;R144&amp;"|","|1-5 min|5-15 min|15-60 min|9:30-11:00|11:00-16:00|Not by 16:00|"),"Same window",IF(FIND("|"&amp;Q144&amp;"|","|1-5 min|5-15 min|15-60 min|9:30-11:00|11:00-16:00|Not by 16:00|")&lt;FIND("|"&amp;R144&amp;"|","|1-5 min|5-15 min|15-60 min|9:30-11:00|11:00-16:00|Not by 16:00|"),IF(E144="Up","High first (main side)",IF(E144="Down","High first (wick side)","High first")),IF(E144="Down","Low first (main side)",IF(E144="Up","Low first (wick side)","Low first"))))),"Check entries"))</f>
        <v/>
      </c>
      <c r="X144" s="28" t="n"/>
      <c r="Y144" s="27" t="n"/>
      <c r="Z144" s="27" t="n"/>
      <c r="AA144" s="27" t="n"/>
      <c r="AB144" s="27" t="n"/>
      <c r="AC144" s="27" t="n"/>
      <c r="AD144" s="27" t="n"/>
      <c r="AE144" s="28" t="n"/>
      <c r="AF144" s="30" t="n"/>
      <c r="AG144" s="27" t="n"/>
    </row>
    <row r="145">
      <c r="A145" s="25" t="n"/>
      <c r="B145" s="26">
        <f>IF(ISNUMBER(A145),TEXT(A145,"ddd"),"")</f>
        <v/>
      </c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8" t="n"/>
      <c r="M145" s="26">
        <f>IF(OR(L145="",AND(E145&lt;&gt;"Up",E145&lt;&gt;"Down")),"",IF(OR(L145="In line",L145="Mixed"),"Neutral data",IF(OR(AND(L145="Hotter",E145="Down"),AND(L145="Cooler",E145="Up")),"With data","Against data")))</f>
        <v/>
      </c>
      <c r="N145" s="28" t="n"/>
      <c r="O145" s="27" t="n"/>
      <c r="P145" s="27" t="n"/>
      <c r="Q145" s="28" t="n"/>
      <c r="R145" s="27" t="n"/>
      <c r="S145" s="29" t="n"/>
      <c r="T145" s="27" t="n"/>
      <c r="U145" s="27" t="n"/>
      <c r="V145" s="26">
        <f>IF(OR(AND(E145&lt;&gt;"Up",E145&lt;&gt;"Down"),NOT(ISNUMBER(S145)),IF(E145="Up",Q145,R145)=""),"",IF(S145&gt;=100,"Back to open",IF(OR(IF(E145="Up",Q145,R145)="1-5 min",IF(E145="Up",Q145,R145)="5-15 min"),"Continued",IF(S145&gt;=50,"Partial retrace","Stalled / chop"))))</f>
        <v/>
      </c>
      <c r="W145" s="26">
        <f>IF(OR(Q145="",R145=""),"",IFERROR(IF(AND(Q145="Not by 16:00",R145="Not by 16:00"),"Neither taken",IF(FIND("|"&amp;Q145&amp;"|","|1-5 min|5-15 min|15-60 min|9:30-11:00|11:00-16:00|Not by 16:00|")=FIND("|"&amp;R145&amp;"|","|1-5 min|5-15 min|15-60 min|9:30-11:00|11:00-16:00|Not by 16:00|"),"Same window",IF(FIND("|"&amp;Q145&amp;"|","|1-5 min|5-15 min|15-60 min|9:30-11:00|11:00-16:00|Not by 16:00|")&lt;FIND("|"&amp;R145&amp;"|","|1-5 min|5-15 min|15-60 min|9:30-11:00|11:00-16:00|Not by 16:00|"),IF(E145="Up","High first (main side)",IF(E145="Down","High first (wick side)","High first")),IF(E145="Down","Low first (main side)",IF(E145="Up","Low first (wick side)","Low first"))))),"Check entries"))</f>
        <v/>
      </c>
      <c r="X145" s="28" t="n"/>
      <c r="Y145" s="27" t="n"/>
      <c r="Z145" s="27" t="n"/>
      <c r="AA145" s="27" t="n"/>
      <c r="AB145" s="27" t="n"/>
      <c r="AC145" s="27" t="n"/>
      <c r="AD145" s="27" t="n"/>
      <c r="AE145" s="28" t="n"/>
      <c r="AF145" s="30" t="n"/>
      <c r="AG145" s="27" t="n"/>
    </row>
    <row r="146">
      <c r="A146" s="25" t="n"/>
      <c r="B146" s="26">
        <f>IF(ISNUMBER(A146),TEXT(A146,"ddd"),"")</f>
        <v/>
      </c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8" t="n"/>
      <c r="M146" s="26">
        <f>IF(OR(L146="",AND(E146&lt;&gt;"Up",E146&lt;&gt;"Down")),"",IF(OR(L146="In line",L146="Mixed"),"Neutral data",IF(OR(AND(L146="Hotter",E146="Down"),AND(L146="Cooler",E146="Up")),"With data","Against data")))</f>
        <v/>
      </c>
      <c r="N146" s="28" t="n"/>
      <c r="O146" s="27" t="n"/>
      <c r="P146" s="27" t="n"/>
      <c r="Q146" s="28" t="n"/>
      <c r="R146" s="27" t="n"/>
      <c r="S146" s="29" t="n"/>
      <c r="T146" s="27" t="n"/>
      <c r="U146" s="27" t="n"/>
      <c r="V146" s="26">
        <f>IF(OR(AND(E146&lt;&gt;"Up",E146&lt;&gt;"Down"),NOT(ISNUMBER(S146)),IF(E146="Up",Q146,R146)=""),"",IF(S146&gt;=100,"Back to open",IF(OR(IF(E146="Up",Q146,R146)="1-5 min",IF(E146="Up",Q146,R146)="5-15 min"),"Continued",IF(S146&gt;=50,"Partial retrace","Stalled / chop"))))</f>
        <v/>
      </c>
      <c r="W146" s="26">
        <f>IF(OR(Q146="",R146=""),"",IFERROR(IF(AND(Q146="Not by 16:00",R146="Not by 16:00"),"Neither taken",IF(FIND("|"&amp;Q146&amp;"|","|1-5 min|5-15 min|15-60 min|9:30-11:00|11:00-16:00|Not by 16:00|")=FIND("|"&amp;R146&amp;"|","|1-5 min|5-15 min|15-60 min|9:30-11:00|11:00-16:00|Not by 16:00|"),"Same window",IF(FIND("|"&amp;Q146&amp;"|","|1-5 min|5-15 min|15-60 min|9:30-11:00|11:00-16:00|Not by 16:00|")&lt;FIND("|"&amp;R146&amp;"|","|1-5 min|5-15 min|15-60 min|9:30-11:00|11:00-16:00|Not by 16:00|"),IF(E146="Up","High first (main side)",IF(E146="Down","High first (wick side)","High first")),IF(E146="Down","Low first (main side)",IF(E146="Up","Low first (wick side)","Low first"))))),"Check entries"))</f>
        <v/>
      </c>
      <c r="X146" s="28" t="n"/>
      <c r="Y146" s="27" t="n"/>
      <c r="Z146" s="27" t="n"/>
      <c r="AA146" s="27" t="n"/>
      <c r="AB146" s="27" t="n"/>
      <c r="AC146" s="27" t="n"/>
      <c r="AD146" s="27" t="n"/>
      <c r="AE146" s="28" t="n"/>
      <c r="AF146" s="30" t="n"/>
      <c r="AG146" s="27" t="n"/>
    </row>
    <row r="147">
      <c r="A147" s="25" t="n"/>
      <c r="B147" s="26">
        <f>IF(ISNUMBER(A147),TEXT(A147,"ddd"),"")</f>
        <v/>
      </c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8" t="n"/>
      <c r="M147" s="26">
        <f>IF(OR(L147="",AND(E147&lt;&gt;"Up",E147&lt;&gt;"Down")),"",IF(OR(L147="In line",L147="Mixed"),"Neutral data",IF(OR(AND(L147="Hotter",E147="Down"),AND(L147="Cooler",E147="Up")),"With data","Against data")))</f>
        <v/>
      </c>
      <c r="N147" s="28" t="n"/>
      <c r="O147" s="27" t="n"/>
      <c r="P147" s="27" t="n"/>
      <c r="Q147" s="28" t="n"/>
      <c r="R147" s="27" t="n"/>
      <c r="S147" s="29" t="n"/>
      <c r="T147" s="27" t="n"/>
      <c r="U147" s="27" t="n"/>
      <c r="V147" s="26">
        <f>IF(OR(AND(E147&lt;&gt;"Up",E147&lt;&gt;"Down"),NOT(ISNUMBER(S147)),IF(E147="Up",Q147,R147)=""),"",IF(S147&gt;=100,"Back to open",IF(OR(IF(E147="Up",Q147,R147)="1-5 min",IF(E147="Up",Q147,R147)="5-15 min"),"Continued",IF(S147&gt;=50,"Partial retrace","Stalled / chop"))))</f>
        <v/>
      </c>
      <c r="W147" s="26">
        <f>IF(OR(Q147="",R147=""),"",IFERROR(IF(AND(Q147="Not by 16:00",R147="Not by 16:00"),"Neither taken",IF(FIND("|"&amp;Q147&amp;"|","|1-5 min|5-15 min|15-60 min|9:30-11:00|11:00-16:00|Not by 16:00|")=FIND("|"&amp;R147&amp;"|","|1-5 min|5-15 min|15-60 min|9:30-11:00|11:00-16:00|Not by 16:00|"),"Same window",IF(FIND("|"&amp;Q147&amp;"|","|1-5 min|5-15 min|15-60 min|9:30-11:00|11:00-16:00|Not by 16:00|")&lt;FIND("|"&amp;R147&amp;"|","|1-5 min|5-15 min|15-60 min|9:30-11:00|11:00-16:00|Not by 16:00|"),IF(E147="Up","High first (main side)",IF(E147="Down","High first (wick side)","High first")),IF(E147="Down","Low first (main side)",IF(E147="Up","Low first (wick side)","Low first"))))),"Check entries"))</f>
        <v/>
      </c>
      <c r="X147" s="28" t="n"/>
      <c r="Y147" s="27" t="n"/>
      <c r="Z147" s="27" t="n"/>
      <c r="AA147" s="27" t="n"/>
      <c r="AB147" s="27" t="n"/>
      <c r="AC147" s="27" t="n"/>
      <c r="AD147" s="27" t="n"/>
      <c r="AE147" s="28" t="n"/>
      <c r="AF147" s="30" t="n"/>
      <c r="AG147" s="27" t="n"/>
    </row>
    <row r="148">
      <c r="A148" s="25" t="n"/>
      <c r="B148" s="26">
        <f>IF(ISNUMBER(A148),TEXT(A148,"ddd"),"")</f>
        <v/>
      </c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8" t="n"/>
      <c r="M148" s="26">
        <f>IF(OR(L148="",AND(E148&lt;&gt;"Up",E148&lt;&gt;"Down")),"",IF(OR(L148="In line",L148="Mixed"),"Neutral data",IF(OR(AND(L148="Hotter",E148="Down"),AND(L148="Cooler",E148="Up")),"With data","Against data")))</f>
        <v/>
      </c>
      <c r="N148" s="28" t="n"/>
      <c r="O148" s="27" t="n"/>
      <c r="P148" s="27" t="n"/>
      <c r="Q148" s="28" t="n"/>
      <c r="R148" s="27" t="n"/>
      <c r="S148" s="29" t="n"/>
      <c r="T148" s="27" t="n"/>
      <c r="U148" s="27" t="n"/>
      <c r="V148" s="26">
        <f>IF(OR(AND(E148&lt;&gt;"Up",E148&lt;&gt;"Down"),NOT(ISNUMBER(S148)),IF(E148="Up",Q148,R148)=""),"",IF(S148&gt;=100,"Back to open",IF(OR(IF(E148="Up",Q148,R148)="1-5 min",IF(E148="Up",Q148,R148)="5-15 min"),"Continued",IF(S148&gt;=50,"Partial retrace","Stalled / chop"))))</f>
        <v/>
      </c>
      <c r="W148" s="26">
        <f>IF(OR(Q148="",R148=""),"",IFERROR(IF(AND(Q148="Not by 16:00",R148="Not by 16:00"),"Neither taken",IF(FIND("|"&amp;Q148&amp;"|","|1-5 min|5-15 min|15-60 min|9:30-11:00|11:00-16:00|Not by 16:00|")=FIND("|"&amp;R148&amp;"|","|1-5 min|5-15 min|15-60 min|9:30-11:00|11:00-16:00|Not by 16:00|"),"Same window",IF(FIND("|"&amp;Q148&amp;"|","|1-5 min|5-15 min|15-60 min|9:30-11:00|11:00-16:00|Not by 16:00|")&lt;FIND("|"&amp;R148&amp;"|","|1-5 min|5-15 min|15-60 min|9:30-11:00|11:00-16:00|Not by 16:00|"),IF(E148="Up","High first (main side)",IF(E148="Down","High first (wick side)","High first")),IF(E148="Down","Low first (main side)",IF(E148="Up","Low first (wick side)","Low first"))))),"Check entries"))</f>
        <v/>
      </c>
      <c r="X148" s="28" t="n"/>
      <c r="Y148" s="27" t="n"/>
      <c r="Z148" s="27" t="n"/>
      <c r="AA148" s="27" t="n"/>
      <c r="AB148" s="27" t="n"/>
      <c r="AC148" s="27" t="n"/>
      <c r="AD148" s="27" t="n"/>
      <c r="AE148" s="28" t="n"/>
      <c r="AF148" s="30" t="n"/>
      <c r="AG148" s="27" t="n"/>
    </row>
    <row r="149">
      <c r="A149" s="25" t="n"/>
      <c r="B149" s="26">
        <f>IF(ISNUMBER(A149),TEXT(A149,"ddd"),"")</f>
        <v/>
      </c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8" t="n"/>
      <c r="M149" s="26">
        <f>IF(OR(L149="",AND(E149&lt;&gt;"Up",E149&lt;&gt;"Down")),"",IF(OR(L149="In line",L149="Mixed"),"Neutral data",IF(OR(AND(L149="Hotter",E149="Down"),AND(L149="Cooler",E149="Up")),"With data","Against data")))</f>
        <v/>
      </c>
      <c r="N149" s="28" t="n"/>
      <c r="O149" s="27" t="n"/>
      <c r="P149" s="27" t="n"/>
      <c r="Q149" s="28" t="n"/>
      <c r="R149" s="27" t="n"/>
      <c r="S149" s="29" t="n"/>
      <c r="T149" s="27" t="n"/>
      <c r="U149" s="27" t="n"/>
      <c r="V149" s="26">
        <f>IF(OR(AND(E149&lt;&gt;"Up",E149&lt;&gt;"Down"),NOT(ISNUMBER(S149)),IF(E149="Up",Q149,R149)=""),"",IF(S149&gt;=100,"Back to open",IF(OR(IF(E149="Up",Q149,R149)="1-5 min",IF(E149="Up",Q149,R149)="5-15 min"),"Continued",IF(S149&gt;=50,"Partial retrace","Stalled / chop"))))</f>
        <v/>
      </c>
      <c r="W149" s="26">
        <f>IF(OR(Q149="",R149=""),"",IFERROR(IF(AND(Q149="Not by 16:00",R149="Not by 16:00"),"Neither taken",IF(FIND("|"&amp;Q149&amp;"|","|1-5 min|5-15 min|15-60 min|9:30-11:00|11:00-16:00|Not by 16:00|")=FIND("|"&amp;R149&amp;"|","|1-5 min|5-15 min|15-60 min|9:30-11:00|11:00-16:00|Not by 16:00|"),"Same window",IF(FIND("|"&amp;Q149&amp;"|","|1-5 min|5-15 min|15-60 min|9:30-11:00|11:00-16:00|Not by 16:00|")&lt;FIND("|"&amp;R149&amp;"|","|1-5 min|5-15 min|15-60 min|9:30-11:00|11:00-16:00|Not by 16:00|"),IF(E149="Up","High first (main side)",IF(E149="Down","High first (wick side)","High first")),IF(E149="Down","Low first (main side)",IF(E149="Up","Low first (wick side)","Low first"))))),"Check entries"))</f>
        <v/>
      </c>
      <c r="X149" s="28" t="n"/>
      <c r="Y149" s="27" t="n"/>
      <c r="Z149" s="27" t="n"/>
      <c r="AA149" s="27" t="n"/>
      <c r="AB149" s="27" t="n"/>
      <c r="AC149" s="27" t="n"/>
      <c r="AD149" s="27" t="n"/>
      <c r="AE149" s="28" t="n"/>
      <c r="AF149" s="30" t="n"/>
      <c r="AG149" s="27" t="n"/>
    </row>
    <row r="150">
      <c r="A150" s="25" t="n"/>
      <c r="B150" s="26">
        <f>IF(ISNUMBER(A150),TEXT(A150,"ddd"),"")</f>
        <v/>
      </c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8" t="n"/>
      <c r="M150" s="26">
        <f>IF(OR(L150="",AND(E150&lt;&gt;"Up",E150&lt;&gt;"Down")),"",IF(OR(L150="In line",L150="Mixed"),"Neutral data",IF(OR(AND(L150="Hotter",E150="Down"),AND(L150="Cooler",E150="Up")),"With data","Against data")))</f>
        <v/>
      </c>
      <c r="N150" s="28" t="n"/>
      <c r="O150" s="27" t="n"/>
      <c r="P150" s="27" t="n"/>
      <c r="Q150" s="28" t="n"/>
      <c r="R150" s="27" t="n"/>
      <c r="S150" s="29" t="n"/>
      <c r="T150" s="27" t="n"/>
      <c r="U150" s="27" t="n"/>
      <c r="V150" s="26">
        <f>IF(OR(AND(E150&lt;&gt;"Up",E150&lt;&gt;"Down"),NOT(ISNUMBER(S150)),IF(E150="Up",Q150,R150)=""),"",IF(S150&gt;=100,"Back to open",IF(OR(IF(E150="Up",Q150,R150)="1-5 min",IF(E150="Up",Q150,R150)="5-15 min"),"Continued",IF(S150&gt;=50,"Partial retrace","Stalled / chop"))))</f>
        <v/>
      </c>
      <c r="W150" s="26">
        <f>IF(OR(Q150="",R150=""),"",IFERROR(IF(AND(Q150="Not by 16:00",R150="Not by 16:00"),"Neither taken",IF(FIND("|"&amp;Q150&amp;"|","|1-5 min|5-15 min|15-60 min|9:30-11:00|11:00-16:00|Not by 16:00|")=FIND("|"&amp;R150&amp;"|","|1-5 min|5-15 min|15-60 min|9:30-11:00|11:00-16:00|Not by 16:00|"),"Same window",IF(FIND("|"&amp;Q150&amp;"|","|1-5 min|5-15 min|15-60 min|9:30-11:00|11:00-16:00|Not by 16:00|")&lt;FIND("|"&amp;R150&amp;"|","|1-5 min|5-15 min|15-60 min|9:30-11:00|11:00-16:00|Not by 16:00|"),IF(E150="Up","High first (main side)",IF(E150="Down","High first (wick side)","High first")),IF(E150="Down","Low first (main side)",IF(E150="Up","Low first (wick side)","Low first"))))),"Check entries"))</f>
        <v/>
      </c>
      <c r="X150" s="28" t="n"/>
      <c r="Y150" s="27" t="n"/>
      <c r="Z150" s="27" t="n"/>
      <c r="AA150" s="27" t="n"/>
      <c r="AB150" s="27" t="n"/>
      <c r="AC150" s="27" t="n"/>
      <c r="AD150" s="27" t="n"/>
      <c r="AE150" s="28" t="n"/>
      <c r="AF150" s="30" t="n"/>
      <c r="AG150" s="27" t="n"/>
    </row>
    <row r="151">
      <c r="A151" s="25" t="n"/>
      <c r="B151" s="26">
        <f>IF(ISNUMBER(A151),TEXT(A151,"ddd"),"")</f>
        <v/>
      </c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8" t="n"/>
      <c r="M151" s="26">
        <f>IF(OR(L151="",AND(E151&lt;&gt;"Up",E151&lt;&gt;"Down")),"",IF(OR(L151="In line",L151="Mixed"),"Neutral data",IF(OR(AND(L151="Hotter",E151="Down"),AND(L151="Cooler",E151="Up")),"With data","Against data")))</f>
        <v/>
      </c>
      <c r="N151" s="28" t="n"/>
      <c r="O151" s="27" t="n"/>
      <c r="P151" s="27" t="n"/>
      <c r="Q151" s="28" t="n"/>
      <c r="R151" s="27" t="n"/>
      <c r="S151" s="29" t="n"/>
      <c r="T151" s="27" t="n"/>
      <c r="U151" s="27" t="n"/>
      <c r="V151" s="26">
        <f>IF(OR(AND(E151&lt;&gt;"Up",E151&lt;&gt;"Down"),NOT(ISNUMBER(S151)),IF(E151="Up",Q151,R151)=""),"",IF(S151&gt;=100,"Back to open",IF(OR(IF(E151="Up",Q151,R151)="1-5 min",IF(E151="Up",Q151,R151)="5-15 min"),"Continued",IF(S151&gt;=50,"Partial retrace","Stalled / chop"))))</f>
        <v/>
      </c>
      <c r="W151" s="26">
        <f>IF(OR(Q151="",R151=""),"",IFERROR(IF(AND(Q151="Not by 16:00",R151="Not by 16:00"),"Neither taken",IF(FIND("|"&amp;Q151&amp;"|","|1-5 min|5-15 min|15-60 min|9:30-11:00|11:00-16:00|Not by 16:00|")=FIND("|"&amp;R151&amp;"|","|1-5 min|5-15 min|15-60 min|9:30-11:00|11:00-16:00|Not by 16:00|"),"Same window",IF(FIND("|"&amp;Q151&amp;"|","|1-5 min|5-15 min|15-60 min|9:30-11:00|11:00-16:00|Not by 16:00|")&lt;FIND("|"&amp;R151&amp;"|","|1-5 min|5-15 min|15-60 min|9:30-11:00|11:00-16:00|Not by 16:00|"),IF(E151="Up","High first (main side)",IF(E151="Down","High first (wick side)","High first")),IF(E151="Down","Low first (main side)",IF(E151="Up","Low first (wick side)","Low first"))))),"Check entries"))</f>
        <v/>
      </c>
      <c r="X151" s="28" t="n"/>
      <c r="Y151" s="27" t="n"/>
      <c r="Z151" s="27" t="n"/>
      <c r="AA151" s="27" t="n"/>
      <c r="AB151" s="27" t="n"/>
      <c r="AC151" s="27" t="n"/>
      <c r="AD151" s="27" t="n"/>
      <c r="AE151" s="28" t="n"/>
      <c r="AF151" s="30" t="n"/>
      <c r="AG151" s="27" t="n"/>
    </row>
    <row r="152">
      <c r="A152" s="25" t="n"/>
      <c r="B152" s="26">
        <f>IF(ISNUMBER(A152),TEXT(A152,"ddd"),"")</f>
        <v/>
      </c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8" t="n"/>
      <c r="M152" s="26">
        <f>IF(OR(L152="",AND(E152&lt;&gt;"Up",E152&lt;&gt;"Down")),"",IF(OR(L152="In line",L152="Mixed"),"Neutral data",IF(OR(AND(L152="Hotter",E152="Down"),AND(L152="Cooler",E152="Up")),"With data","Against data")))</f>
        <v/>
      </c>
      <c r="N152" s="28" t="n"/>
      <c r="O152" s="27" t="n"/>
      <c r="P152" s="27" t="n"/>
      <c r="Q152" s="28" t="n"/>
      <c r="R152" s="27" t="n"/>
      <c r="S152" s="29" t="n"/>
      <c r="T152" s="27" t="n"/>
      <c r="U152" s="27" t="n"/>
      <c r="V152" s="26">
        <f>IF(OR(AND(E152&lt;&gt;"Up",E152&lt;&gt;"Down"),NOT(ISNUMBER(S152)),IF(E152="Up",Q152,R152)=""),"",IF(S152&gt;=100,"Back to open",IF(OR(IF(E152="Up",Q152,R152)="1-5 min",IF(E152="Up",Q152,R152)="5-15 min"),"Continued",IF(S152&gt;=50,"Partial retrace","Stalled / chop"))))</f>
        <v/>
      </c>
      <c r="W152" s="26">
        <f>IF(OR(Q152="",R152=""),"",IFERROR(IF(AND(Q152="Not by 16:00",R152="Not by 16:00"),"Neither taken",IF(FIND("|"&amp;Q152&amp;"|","|1-5 min|5-15 min|15-60 min|9:30-11:00|11:00-16:00|Not by 16:00|")=FIND("|"&amp;R152&amp;"|","|1-5 min|5-15 min|15-60 min|9:30-11:00|11:00-16:00|Not by 16:00|"),"Same window",IF(FIND("|"&amp;Q152&amp;"|","|1-5 min|5-15 min|15-60 min|9:30-11:00|11:00-16:00|Not by 16:00|")&lt;FIND("|"&amp;R152&amp;"|","|1-5 min|5-15 min|15-60 min|9:30-11:00|11:00-16:00|Not by 16:00|"),IF(E152="Up","High first (main side)",IF(E152="Down","High first (wick side)","High first")),IF(E152="Down","Low first (main side)",IF(E152="Up","Low first (wick side)","Low first"))))),"Check entries"))</f>
        <v/>
      </c>
      <c r="X152" s="28" t="n"/>
      <c r="Y152" s="27" t="n"/>
      <c r="Z152" s="27" t="n"/>
      <c r="AA152" s="27" t="n"/>
      <c r="AB152" s="27" t="n"/>
      <c r="AC152" s="27" t="n"/>
      <c r="AD152" s="27" t="n"/>
      <c r="AE152" s="28" t="n"/>
      <c r="AF152" s="30" t="n"/>
      <c r="AG152" s="27" t="n"/>
    </row>
    <row r="153">
      <c r="A153" s="25" t="n"/>
      <c r="B153" s="26">
        <f>IF(ISNUMBER(A153),TEXT(A153,"ddd"),"")</f>
        <v/>
      </c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8" t="n"/>
      <c r="M153" s="26">
        <f>IF(OR(L153="",AND(E153&lt;&gt;"Up",E153&lt;&gt;"Down")),"",IF(OR(L153="In line",L153="Mixed"),"Neutral data",IF(OR(AND(L153="Hotter",E153="Down"),AND(L153="Cooler",E153="Up")),"With data","Against data")))</f>
        <v/>
      </c>
      <c r="N153" s="28" t="n"/>
      <c r="O153" s="27" t="n"/>
      <c r="P153" s="27" t="n"/>
      <c r="Q153" s="28" t="n"/>
      <c r="R153" s="27" t="n"/>
      <c r="S153" s="29" t="n"/>
      <c r="T153" s="27" t="n"/>
      <c r="U153" s="27" t="n"/>
      <c r="V153" s="26">
        <f>IF(OR(AND(E153&lt;&gt;"Up",E153&lt;&gt;"Down"),NOT(ISNUMBER(S153)),IF(E153="Up",Q153,R153)=""),"",IF(S153&gt;=100,"Back to open",IF(OR(IF(E153="Up",Q153,R153)="1-5 min",IF(E153="Up",Q153,R153)="5-15 min"),"Continued",IF(S153&gt;=50,"Partial retrace","Stalled / chop"))))</f>
        <v/>
      </c>
      <c r="W153" s="26">
        <f>IF(OR(Q153="",R153=""),"",IFERROR(IF(AND(Q153="Not by 16:00",R153="Not by 16:00"),"Neither taken",IF(FIND("|"&amp;Q153&amp;"|","|1-5 min|5-15 min|15-60 min|9:30-11:00|11:00-16:00|Not by 16:00|")=FIND("|"&amp;R153&amp;"|","|1-5 min|5-15 min|15-60 min|9:30-11:00|11:00-16:00|Not by 16:00|"),"Same window",IF(FIND("|"&amp;Q153&amp;"|","|1-5 min|5-15 min|15-60 min|9:30-11:00|11:00-16:00|Not by 16:00|")&lt;FIND("|"&amp;R153&amp;"|","|1-5 min|5-15 min|15-60 min|9:30-11:00|11:00-16:00|Not by 16:00|"),IF(E153="Up","High first (main side)",IF(E153="Down","High first (wick side)","High first")),IF(E153="Down","Low first (main side)",IF(E153="Up","Low first (wick side)","Low first"))))),"Check entries"))</f>
        <v/>
      </c>
      <c r="X153" s="28" t="n"/>
      <c r="Y153" s="27" t="n"/>
      <c r="Z153" s="27" t="n"/>
      <c r="AA153" s="27" t="n"/>
      <c r="AB153" s="27" t="n"/>
      <c r="AC153" s="27" t="n"/>
      <c r="AD153" s="27" t="n"/>
      <c r="AE153" s="28" t="n"/>
      <c r="AF153" s="30" t="n"/>
      <c r="AG153" s="27" t="n"/>
    </row>
    <row r="154">
      <c r="A154" s="25" t="n"/>
      <c r="B154" s="26">
        <f>IF(ISNUMBER(A154),TEXT(A154,"ddd"),"")</f>
        <v/>
      </c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8" t="n"/>
      <c r="M154" s="26">
        <f>IF(OR(L154="",AND(E154&lt;&gt;"Up",E154&lt;&gt;"Down")),"",IF(OR(L154="In line",L154="Mixed"),"Neutral data",IF(OR(AND(L154="Hotter",E154="Down"),AND(L154="Cooler",E154="Up")),"With data","Against data")))</f>
        <v/>
      </c>
      <c r="N154" s="28" t="n"/>
      <c r="O154" s="27" t="n"/>
      <c r="P154" s="27" t="n"/>
      <c r="Q154" s="28" t="n"/>
      <c r="R154" s="27" t="n"/>
      <c r="S154" s="29" t="n"/>
      <c r="T154" s="27" t="n"/>
      <c r="U154" s="27" t="n"/>
      <c r="V154" s="26">
        <f>IF(OR(AND(E154&lt;&gt;"Up",E154&lt;&gt;"Down"),NOT(ISNUMBER(S154)),IF(E154="Up",Q154,R154)=""),"",IF(S154&gt;=100,"Back to open",IF(OR(IF(E154="Up",Q154,R154)="1-5 min",IF(E154="Up",Q154,R154)="5-15 min"),"Continued",IF(S154&gt;=50,"Partial retrace","Stalled / chop"))))</f>
        <v/>
      </c>
      <c r="W154" s="26">
        <f>IF(OR(Q154="",R154=""),"",IFERROR(IF(AND(Q154="Not by 16:00",R154="Not by 16:00"),"Neither taken",IF(FIND("|"&amp;Q154&amp;"|","|1-5 min|5-15 min|15-60 min|9:30-11:00|11:00-16:00|Not by 16:00|")=FIND("|"&amp;R154&amp;"|","|1-5 min|5-15 min|15-60 min|9:30-11:00|11:00-16:00|Not by 16:00|"),"Same window",IF(FIND("|"&amp;Q154&amp;"|","|1-5 min|5-15 min|15-60 min|9:30-11:00|11:00-16:00|Not by 16:00|")&lt;FIND("|"&amp;R154&amp;"|","|1-5 min|5-15 min|15-60 min|9:30-11:00|11:00-16:00|Not by 16:00|"),IF(E154="Up","High first (main side)",IF(E154="Down","High first (wick side)","High first")),IF(E154="Down","Low first (main side)",IF(E154="Up","Low first (wick side)","Low first"))))),"Check entries"))</f>
        <v/>
      </c>
      <c r="X154" s="28" t="n"/>
      <c r="Y154" s="27" t="n"/>
      <c r="Z154" s="27" t="n"/>
      <c r="AA154" s="27" t="n"/>
      <c r="AB154" s="27" t="n"/>
      <c r="AC154" s="27" t="n"/>
      <c r="AD154" s="27" t="n"/>
      <c r="AE154" s="28" t="n"/>
      <c r="AF154" s="30" t="n"/>
      <c r="AG154" s="27" t="n"/>
    </row>
    <row r="155">
      <c r="A155" s="25" t="n"/>
      <c r="B155" s="26">
        <f>IF(ISNUMBER(A155),TEXT(A155,"ddd"),"")</f>
        <v/>
      </c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8" t="n"/>
      <c r="M155" s="26">
        <f>IF(OR(L155="",AND(E155&lt;&gt;"Up",E155&lt;&gt;"Down")),"",IF(OR(L155="In line",L155="Mixed"),"Neutral data",IF(OR(AND(L155="Hotter",E155="Down"),AND(L155="Cooler",E155="Up")),"With data","Against data")))</f>
        <v/>
      </c>
      <c r="N155" s="28" t="n"/>
      <c r="O155" s="27" t="n"/>
      <c r="P155" s="27" t="n"/>
      <c r="Q155" s="28" t="n"/>
      <c r="R155" s="27" t="n"/>
      <c r="S155" s="29" t="n"/>
      <c r="T155" s="27" t="n"/>
      <c r="U155" s="27" t="n"/>
      <c r="V155" s="26">
        <f>IF(OR(AND(E155&lt;&gt;"Up",E155&lt;&gt;"Down"),NOT(ISNUMBER(S155)),IF(E155="Up",Q155,R155)=""),"",IF(S155&gt;=100,"Back to open",IF(OR(IF(E155="Up",Q155,R155)="1-5 min",IF(E155="Up",Q155,R155)="5-15 min"),"Continued",IF(S155&gt;=50,"Partial retrace","Stalled / chop"))))</f>
        <v/>
      </c>
      <c r="W155" s="26">
        <f>IF(OR(Q155="",R155=""),"",IFERROR(IF(AND(Q155="Not by 16:00",R155="Not by 16:00"),"Neither taken",IF(FIND("|"&amp;Q155&amp;"|","|1-5 min|5-15 min|15-60 min|9:30-11:00|11:00-16:00|Not by 16:00|")=FIND("|"&amp;R155&amp;"|","|1-5 min|5-15 min|15-60 min|9:30-11:00|11:00-16:00|Not by 16:00|"),"Same window",IF(FIND("|"&amp;Q155&amp;"|","|1-5 min|5-15 min|15-60 min|9:30-11:00|11:00-16:00|Not by 16:00|")&lt;FIND("|"&amp;R155&amp;"|","|1-5 min|5-15 min|15-60 min|9:30-11:00|11:00-16:00|Not by 16:00|"),IF(E155="Up","High first (main side)",IF(E155="Down","High first (wick side)","High first")),IF(E155="Down","Low first (main side)",IF(E155="Up","Low first (wick side)","Low first"))))),"Check entries"))</f>
        <v/>
      </c>
      <c r="X155" s="28" t="n"/>
      <c r="Y155" s="27" t="n"/>
      <c r="Z155" s="27" t="n"/>
      <c r="AA155" s="27" t="n"/>
      <c r="AB155" s="27" t="n"/>
      <c r="AC155" s="27" t="n"/>
      <c r="AD155" s="27" t="n"/>
      <c r="AE155" s="28" t="n"/>
      <c r="AF155" s="30" t="n"/>
      <c r="AG155" s="27" t="n"/>
    </row>
    <row r="156">
      <c r="A156" s="25" t="n"/>
      <c r="B156" s="26">
        <f>IF(ISNUMBER(A156),TEXT(A156,"ddd"),"")</f>
        <v/>
      </c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8" t="n"/>
      <c r="M156" s="26">
        <f>IF(OR(L156="",AND(E156&lt;&gt;"Up",E156&lt;&gt;"Down")),"",IF(OR(L156="In line",L156="Mixed"),"Neutral data",IF(OR(AND(L156="Hotter",E156="Down"),AND(L156="Cooler",E156="Up")),"With data","Against data")))</f>
        <v/>
      </c>
      <c r="N156" s="28" t="n"/>
      <c r="O156" s="27" t="n"/>
      <c r="P156" s="27" t="n"/>
      <c r="Q156" s="28" t="n"/>
      <c r="R156" s="27" t="n"/>
      <c r="S156" s="29" t="n"/>
      <c r="T156" s="27" t="n"/>
      <c r="U156" s="27" t="n"/>
      <c r="V156" s="26">
        <f>IF(OR(AND(E156&lt;&gt;"Up",E156&lt;&gt;"Down"),NOT(ISNUMBER(S156)),IF(E156="Up",Q156,R156)=""),"",IF(S156&gt;=100,"Back to open",IF(OR(IF(E156="Up",Q156,R156)="1-5 min",IF(E156="Up",Q156,R156)="5-15 min"),"Continued",IF(S156&gt;=50,"Partial retrace","Stalled / chop"))))</f>
        <v/>
      </c>
      <c r="W156" s="26">
        <f>IF(OR(Q156="",R156=""),"",IFERROR(IF(AND(Q156="Not by 16:00",R156="Not by 16:00"),"Neither taken",IF(FIND("|"&amp;Q156&amp;"|","|1-5 min|5-15 min|15-60 min|9:30-11:00|11:00-16:00|Not by 16:00|")=FIND("|"&amp;R156&amp;"|","|1-5 min|5-15 min|15-60 min|9:30-11:00|11:00-16:00|Not by 16:00|"),"Same window",IF(FIND("|"&amp;Q156&amp;"|","|1-5 min|5-15 min|15-60 min|9:30-11:00|11:00-16:00|Not by 16:00|")&lt;FIND("|"&amp;R156&amp;"|","|1-5 min|5-15 min|15-60 min|9:30-11:00|11:00-16:00|Not by 16:00|"),IF(E156="Up","High first (main side)",IF(E156="Down","High first (wick side)","High first")),IF(E156="Down","Low first (main side)",IF(E156="Up","Low first (wick side)","Low first"))))),"Check entries"))</f>
        <v/>
      </c>
      <c r="X156" s="28" t="n"/>
      <c r="Y156" s="27" t="n"/>
      <c r="Z156" s="27" t="n"/>
      <c r="AA156" s="27" t="n"/>
      <c r="AB156" s="27" t="n"/>
      <c r="AC156" s="27" t="n"/>
      <c r="AD156" s="27" t="n"/>
      <c r="AE156" s="28" t="n"/>
      <c r="AF156" s="30" t="n"/>
      <c r="AG156" s="27" t="n"/>
    </row>
    <row r="157">
      <c r="A157" s="25" t="n"/>
      <c r="B157" s="26">
        <f>IF(ISNUMBER(A157),TEXT(A157,"ddd"),"")</f>
        <v/>
      </c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8" t="n"/>
      <c r="M157" s="26">
        <f>IF(OR(L157="",AND(E157&lt;&gt;"Up",E157&lt;&gt;"Down")),"",IF(OR(L157="In line",L157="Mixed"),"Neutral data",IF(OR(AND(L157="Hotter",E157="Down"),AND(L157="Cooler",E157="Up")),"With data","Against data")))</f>
        <v/>
      </c>
      <c r="N157" s="28" t="n"/>
      <c r="O157" s="27" t="n"/>
      <c r="P157" s="27" t="n"/>
      <c r="Q157" s="28" t="n"/>
      <c r="R157" s="27" t="n"/>
      <c r="S157" s="29" t="n"/>
      <c r="T157" s="27" t="n"/>
      <c r="U157" s="27" t="n"/>
      <c r="V157" s="26">
        <f>IF(OR(AND(E157&lt;&gt;"Up",E157&lt;&gt;"Down"),NOT(ISNUMBER(S157)),IF(E157="Up",Q157,R157)=""),"",IF(S157&gt;=100,"Back to open",IF(OR(IF(E157="Up",Q157,R157)="1-5 min",IF(E157="Up",Q157,R157)="5-15 min"),"Continued",IF(S157&gt;=50,"Partial retrace","Stalled / chop"))))</f>
        <v/>
      </c>
      <c r="W157" s="26">
        <f>IF(OR(Q157="",R157=""),"",IFERROR(IF(AND(Q157="Not by 16:00",R157="Not by 16:00"),"Neither taken",IF(FIND("|"&amp;Q157&amp;"|","|1-5 min|5-15 min|15-60 min|9:30-11:00|11:00-16:00|Not by 16:00|")=FIND("|"&amp;R157&amp;"|","|1-5 min|5-15 min|15-60 min|9:30-11:00|11:00-16:00|Not by 16:00|"),"Same window",IF(FIND("|"&amp;Q157&amp;"|","|1-5 min|5-15 min|15-60 min|9:30-11:00|11:00-16:00|Not by 16:00|")&lt;FIND("|"&amp;R157&amp;"|","|1-5 min|5-15 min|15-60 min|9:30-11:00|11:00-16:00|Not by 16:00|"),IF(E157="Up","High first (main side)",IF(E157="Down","High first (wick side)","High first")),IF(E157="Down","Low first (main side)",IF(E157="Up","Low first (wick side)","Low first"))))),"Check entries"))</f>
        <v/>
      </c>
      <c r="X157" s="28" t="n"/>
      <c r="Y157" s="27" t="n"/>
      <c r="Z157" s="27" t="n"/>
      <c r="AA157" s="27" t="n"/>
      <c r="AB157" s="27" t="n"/>
      <c r="AC157" s="27" t="n"/>
      <c r="AD157" s="27" t="n"/>
      <c r="AE157" s="28" t="n"/>
      <c r="AF157" s="30" t="n"/>
      <c r="AG157" s="27" t="n"/>
    </row>
    <row r="158">
      <c r="A158" s="25" t="n"/>
      <c r="B158" s="26">
        <f>IF(ISNUMBER(A158),TEXT(A158,"ddd"),"")</f>
        <v/>
      </c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8" t="n"/>
      <c r="M158" s="26">
        <f>IF(OR(L158="",AND(E158&lt;&gt;"Up",E158&lt;&gt;"Down")),"",IF(OR(L158="In line",L158="Mixed"),"Neutral data",IF(OR(AND(L158="Hotter",E158="Down"),AND(L158="Cooler",E158="Up")),"With data","Against data")))</f>
        <v/>
      </c>
      <c r="N158" s="28" t="n"/>
      <c r="O158" s="27" t="n"/>
      <c r="P158" s="27" t="n"/>
      <c r="Q158" s="28" t="n"/>
      <c r="R158" s="27" t="n"/>
      <c r="S158" s="29" t="n"/>
      <c r="T158" s="27" t="n"/>
      <c r="U158" s="27" t="n"/>
      <c r="V158" s="26">
        <f>IF(OR(AND(E158&lt;&gt;"Up",E158&lt;&gt;"Down"),NOT(ISNUMBER(S158)),IF(E158="Up",Q158,R158)=""),"",IF(S158&gt;=100,"Back to open",IF(OR(IF(E158="Up",Q158,R158)="1-5 min",IF(E158="Up",Q158,R158)="5-15 min"),"Continued",IF(S158&gt;=50,"Partial retrace","Stalled / chop"))))</f>
        <v/>
      </c>
      <c r="W158" s="26">
        <f>IF(OR(Q158="",R158=""),"",IFERROR(IF(AND(Q158="Not by 16:00",R158="Not by 16:00"),"Neither taken",IF(FIND("|"&amp;Q158&amp;"|","|1-5 min|5-15 min|15-60 min|9:30-11:00|11:00-16:00|Not by 16:00|")=FIND("|"&amp;R158&amp;"|","|1-5 min|5-15 min|15-60 min|9:30-11:00|11:00-16:00|Not by 16:00|"),"Same window",IF(FIND("|"&amp;Q158&amp;"|","|1-5 min|5-15 min|15-60 min|9:30-11:00|11:00-16:00|Not by 16:00|")&lt;FIND("|"&amp;R158&amp;"|","|1-5 min|5-15 min|15-60 min|9:30-11:00|11:00-16:00|Not by 16:00|"),IF(E158="Up","High first (main side)",IF(E158="Down","High first (wick side)","High first")),IF(E158="Down","Low first (main side)",IF(E158="Up","Low first (wick side)","Low first"))))),"Check entries"))</f>
        <v/>
      </c>
      <c r="X158" s="28" t="n"/>
      <c r="Y158" s="27" t="n"/>
      <c r="Z158" s="27" t="n"/>
      <c r="AA158" s="27" t="n"/>
      <c r="AB158" s="27" t="n"/>
      <c r="AC158" s="27" t="n"/>
      <c r="AD158" s="27" t="n"/>
      <c r="AE158" s="28" t="n"/>
      <c r="AF158" s="30" t="n"/>
      <c r="AG158" s="27" t="n"/>
    </row>
    <row r="159">
      <c r="A159" s="25" t="n"/>
      <c r="B159" s="26">
        <f>IF(ISNUMBER(A159),TEXT(A159,"ddd"),"")</f>
        <v/>
      </c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8" t="n"/>
      <c r="M159" s="26">
        <f>IF(OR(L159="",AND(E159&lt;&gt;"Up",E159&lt;&gt;"Down")),"",IF(OR(L159="In line",L159="Mixed"),"Neutral data",IF(OR(AND(L159="Hotter",E159="Down"),AND(L159="Cooler",E159="Up")),"With data","Against data")))</f>
        <v/>
      </c>
      <c r="N159" s="28" t="n"/>
      <c r="O159" s="27" t="n"/>
      <c r="P159" s="27" t="n"/>
      <c r="Q159" s="28" t="n"/>
      <c r="R159" s="27" t="n"/>
      <c r="S159" s="29" t="n"/>
      <c r="T159" s="27" t="n"/>
      <c r="U159" s="27" t="n"/>
      <c r="V159" s="26">
        <f>IF(OR(AND(E159&lt;&gt;"Up",E159&lt;&gt;"Down"),NOT(ISNUMBER(S159)),IF(E159="Up",Q159,R159)=""),"",IF(S159&gt;=100,"Back to open",IF(OR(IF(E159="Up",Q159,R159)="1-5 min",IF(E159="Up",Q159,R159)="5-15 min"),"Continued",IF(S159&gt;=50,"Partial retrace","Stalled / chop"))))</f>
        <v/>
      </c>
      <c r="W159" s="26">
        <f>IF(OR(Q159="",R159=""),"",IFERROR(IF(AND(Q159="Not by 16:00",R159="Not by 16:00"),"Neither taken",IF(FIND("|"&amp;Q159&amp;"|","|1-5 min|5-15 min|15-60 min|9:30-11:00|11:00-16:00|Not by 16:00|")=FIND("|"&amp;R159&amp;"|","|1-5 min|5-15 min|15-60 min|9:30-11:00|11:00-16:00|Not by 16:00|"),"Same window",IF(FIND("|"&amp;Q159&amp;"|","|1-5 min|5-15 min|15-60 min|9:30-11:00|11:00-16:00|Not by 16:00|")&lt;FIND("|"&amp;R159&amp;"|","|1-5 min|5-15 min|15-60 min|9:30-11:00|11:00-16:00|Not by 16:00|"),IF(E159="Up","High first (main side)",IF(E159="Down","High first (wick side)","High first")),IF(E159="Down","Low first (main side)",IF(E159="Up","Low first (wick side)","Low first"))))),"Check entries"))</f>
        <v/>
      </c>
      <c r="X159" s="28" t="n"/>
      <c r="Y159" s="27" t="n"/>
      <c r="Z159" s="27" t="n"/>
      <c r="AA159" s="27" t="n"/>
      <c r="AB159" s="27" t="n"/>
      <c r="AC159" s="27" t="n"/>
      <c r="AD159" s="27" t="n"/>
      <c r="AE159" s="28" t="n"/>
      <c r="AF159" s="30" t="n"/>
      <c r="AG159" s="27" t="n"/>
    </row>
    <row r="160">
      <c r="A160" s="25" t="n"/>
      <c r="B160" s="26">
        <f>IF(ISNUMBER(A160),TEXT(A160,"ddd"),"")</f>
        <v/>
      </c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8" t="n"/>
      <c r="M160" s="26">
        <f>IF(OR(L160="",AND(E160&lt;&gt;"Up",E160&lt;&gt;"Down")),"",IF(OR(L160="In line",L160="Mixed"),"Neutral data",IF(OR(AND(L160="Hotter",E160="Down"),AND(L160="Cooler",E160="Up")),"With data","Against data")))</f>
        <v/>
      </c>
      <c r="N160" s="28" t="n"/>
      <c r="O160" s="27" t="n"/>
      <c r="P160" s="27" t="n"/>
      <c r="Q160" s="28" t="n"/>
      <c r="R160" s="27" t="n"/>
      <c r="S160" s="29" t="n"/>
      <c r="T160" s="27" t="n"/>
      <c r="U160" s="27" t="n"/>
      <c r="V160" s="26">
        <f>IF(OR(AND(E160&lt;&gt;"Up",E160&lt;&gt;"Down"),NOT(ISNUMBER(S160)),IF(E160="Up",Q160,R160)=""),"",IF(S160&gt;=100,"Back to open",IF(OR(IF(E160="Up",Q160,R160)="1-5 min",IF(E160="Up",Q160,R160)="5-15 min"),"Continued",IF(S160&gt;=50,"Partial retrace","Stalled / chop"))))</f>
        <v/>
      </c>
      <c r="W160" s="26">
        <f>IF(OR(Q160="",R160=""),"",IFERROR(IF(AND(Q160="Not by 16:00",R160="Not by 16:00"),"Neither taken",IF(FIND("|"&amp;Q160&amp;"|","|1-5 min|5-15 min|15-60 min|9:30-11:00|11:00-16:00|Not by 16:00|")=FIND("|"&amp;R160&amp;"|","|1-5 min|5-15 min|15-60 min|9:30-11:00|11:00-16:00|Not by 16:00|"),"Same window",IF(FIND("|"&amp;Q160&amp;"|","|1-5 min|5-15 min|15-60 min|9:30-11:00|11:00-16:00|Not by 16:00|")&lt;FIND("|"&amp;R160&amp;"|","|1-5 min|5-15 min|15-60 min|9:30-11:00|11:00-16:00|Not by 16:00|"),IF(E160="Up","High first (main side)",IF(E160="Down","High first (wick side)","High first")),IF(E160="Down","Low first (main side)",IF(E160="Up","Low first (wick side)","Low first"))))),"Check entries"))</f>
        <v/>
      </c>
      <c r="X160" s="28" t="n"/>
      <c r="Y160" s="27" t="n"/>
      <c r="Z160" s="27" t="n"/>
      <c r="AA160" s="27" t="n"/>
      <c r="AB160" s="27" t="n"/>
      <c r="AC160" s="27" t="n"/>
      <c r="AD160" s="27" t="n"/>
      <c r="AE160" s="28" t="n"/>
      <c r="AF160" s="30" t="n"/>
      <c r="AG160" s="27" t="n"/>
    </row>
    <row r="161">
      <c r="A161" s="25" t="n"/>
      <c r="B161" s="26">
        <f>IF(ISNUMBER(A161),TEXT(A161,"ddd"),"")</f>
        <v/>
      </c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8" t="n"/>
      <c r="M161" s="26">
        <f>IF(OR(L161="",AND(E161&lt;&gt;"Up",E161&lt;&gt;"Down")),"",IF(OR(L161="In line",L161="Mixed"),"Neutral data",IF(OR(AND(L161="Hotter",E161="Down"),AND(L161="Cooler",E161="Up")),"With data","Against data")))</f>
        <v/>
      </c>
      <c r="N161" s="28" t="n"/>
      <c r="O161" s="27" t="n"/>
      <c r="P161" s="27" t="n"/>
      <c r="Q161" s="28" t="n"/>
      <c r="R161" s="27" t="n"/>
      <c r="S161" s="29" t="n"/>
      <c r="T161" s="27" t="n"/>
      <c r="U161" s="27" t="n"/>
      <c r="V161" s="26">
        <f>IF(OR(AND(E161&lt;&gt;"Up",E161&lt;&gt;"Down"),NOT(ISNUMBER(S161)),IF(E161="Up",Q161,R161)=""),"",IF(S161&gt;=100,"Back to open",IF(OR(IF(E161="Up",Q161,R161)="1-5 min",IF(E161="Up",Q161,R161)="5-15 min"),"Continued",IF(S161&gt;=50,"Partial retrace","Stalled / chop"))))</f>
        <v/>
      </c>
      <c r="W161" s="26">
        <f>IF(OR(Q161="",R161=""),"",IFERROR(IF(AND(Q161="Not by 16:00",R161="Not by 16:00"),"Neither taken",IF(FIND("|"&amp;Q161&amp;"|","|1-5 min|5-15 min|15-60 min|9:30-11:00|11:00-16:00|Not by 16:00|")=FIND("|"&amp;R161&amp;"|","|1-5 min|5-15 min|15-60 min|9:30-11:00|11:00-16:00|Not by 16:00|"),"Same window",IF(FIND("|"&amp;Q161&amp;"|","|1-5 min|5-15 min|15-60 min|9:30-11:00|11:00-16:00|Not by 16:00|")&lt;FIND("|"&amp;R161&amp;"|","|1-5 min|5-15 min|15-60 min|9:30-11:00|11:00-16:00|Not by 16:00|"),IF(E161="Up","High first (main side)",IF(E161="Down","High first (wick side)","High first")),IF(E161="Down","Low first (main side)",IF(E161="Up","Low first (wick side)","Low first"))))),"Check entries"))</f>
        <v/>
      </c>
      <c r="X161" s="28" t="n"/>
      <c r="Y161" s="27" t="n"/>
      <c r="Z161" s="27" t="n"/>
      <c r="AA161" s="27" t="n"/>
      <c r="AB161" s="27" t="n"/>
      <c r="AC161" s="27" t="n"/>
      <c r="AD161" s="27" t="n"/>
      <c r="AE161" s="28" t="n"/>
      <c r="AF161" s="30" t="n"/>
      <c r="AG161" s="27" t="n"/>
    </row>
    <row r="162">
      <c r="A162" s="25" t="n"/>
      <c r="B162" s="26">
        <f>IF(ISNUMBER(A162),TEXT(A162,"ddd"),"")</f>
        <v/>
      </c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8" t="n"/>
      <c r="M162" s="26">
        <f>IF(OR(L162="",AND(E162&lt;&gt;"Up",E162&lt;&gt;"Down")),"",IF(OR(L162="In line",L162="Mixed"),"Neutral data",IF(OR(AND(L162="Hotter",E162="Down"),AND(L162="Cooler",E162="Up")),"With data","Against data")))</f>
        <v/>
      </c>
      <c r="N162" s="28" t="n"/>
      <c r="O162" s="27" t="n"/>
      <c r="P162" s="27" t="n"/>
      <c r="Q162" s="28" t="n"/>
      <c r="R162" s="27" t="n"/>
      <c r="S162" s="29" t="n"/>
      <c r="T162" s="27" t="n"/>
      <c r="U162" s="27" t="n"/>
      <c r="V162" s="26">
        <f>IF(OR(AND(E162&lt;&gt;"Up",E162&lt;&gt;"Down"),NOT(ISNUMBER(S162)),IF(E162="Up",Q162,R162)=""),"",IF(S162&gt;=100,"Back to open",IF(OR(IF(E162="Up",Q162,R162)="1-5 min",IF(E162="Up",Q162,R162)="5-15 min"),"Continued",IF(S162&gt;=50,"Partial retrace","Stalled / chop"))))</f>
        <v/>
      </c>
      <c r="W162" s="26">
        <f>IF(OR(Q162="",R162=""),"",IFERROR(IF(AND(Q162="Not by 16:00",R162="Not by 16:00"),"Neither taken",IF(FIND("|"&amp;Q162&amp;"|","|1-5 min|5-15 min|15-60 min|9:30-11:00|11:00-16:00|Not by 16:00|")=FIND("|"&amp;R162&amp;"|","|1-5 min|5-15 min|15-60 min|9:30-11:00|11:00-16:00|Not by 16:00|"),"Same window",IF(FIND("|"&amp;Q162&amp;"|","|1-5 min|5-15 min|15-60 min|9:30-11:00|11:00-16:00|Not by 16:00|")&lt;FIND("|"&amp;R162&amp;"|","|1-5 min|5-15 min|15-60 min|9:30-11:00|11:00-16:00|Not by 16:00|"),IF(E162="Up","High first (main side)",IF(E162="Down","High first (wick side)","High first")),IF(E162="Down","Low first (main side)",IF(E162="Up","Low first (wick side)","Low first"))))),"Check entries"))</f>
        <v/>
      </c>
      <c r="X162" s="28" t="n"/>
      <c r="Y162" s="27" t="n"/>
      <c r="Z162" s="27" t="n"/>
      <c r="AA162" s="27" t="n"/>
      <c r="AB162" s="27" t="n"/>
      <c r="AC162" s="27" t="n"/>
      <c r="AD162" s="27" t="n"/>
      <c r="AE162" s="28" t="n"/>
      <c r="AF162" s="30" t="n"/>
      <c r="AG162" s="27" t="n"/>
    </row>
    <row r="163">
      <c r="A163" s="25" t="n"/>
      <c r="B163" s="26">
        <f>IF(ISNUMBER(A163),TEXT(A163,"ddd"),"")</f>
        <v/>
      </c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8" t="n"/>
      <c r="M163" s="26">
        <f>IF(OR(L163="",AND(E163&lt;&gt;"Up",E163&lt;&gt;"Down")),"",IF(OR(L163="In line",L163="Mixed"),"Neutral data",IF(OR(AND(L163="Hotter",E163="Down"),AND(L163="Cooler",E163="Up")),"With data","Against data")))</f>
        <v/>
      </c>
      <c r="N163" s="28" t="n"/>
      <c r="O163" s="27" t="n"/>
      <c r="P163" s="27" t="n"/>
      <c r="Q163" s="28" t="n"/>
      <c r="R163" s="27" t="n"/>
      <c r="S163" s="29" t="n"/>
      <c r="T163" s="27" t="n"/>
      <c r="U163" s="27" t="n"/>
      <c r="V163" s="26">
        <f>IF(OR(AND(E163&lt;&gt;"Up",E163&lt;&gt;"Down"),NOT(ISNUMBER(S163)),IF(E163="Up",Q163,R163)=""),"",IF(S163&gt;=100,"Back to open",IF(OR(IF(E163="Up",Q163,R163)="1-5 min",IF(E163="Up",Q163,R163)="5-15 min"),"Continued",IF(S163&gt;=50,"Partial retrace","Stalled / chop"))))</f>
        <v/>
      </c>
      <c r="W163" s="26">
        <f>IF(OR(Q163="",R163=""),"",IFERROR(IF(AND(Q163="Not by 16:00",R163="Not by 16:00"),"Neither taken",IF(FIND("|"&amp;Q163&amp;"|","|1-5 min|5-15 min|15-60 min|9:30-11:00|11:00-16:00|Not by 16:00|")=FIND("|"&amp;R163&amp;"|","|1-5 min|5-15 min|15-60 min|9:30-11:00|11:00-16:00|Not by 16:00|"),"Same window",IF(FIND("|"&amp;Q163&amp;"|","|1-5 min|5-15 min|15-60 min|9:30-11:00|11:00-16:00|Not by 16:00|")&lt;FIND("|"&amp;R163&amp;"|","|1-5 min|5-15 min|15-60 min|9:30-11:00|11:00-16:00|Not by 16:00|"),IF(E163="Up","High first (main side)",IF(E163="Down","High first (wick side)","High first")),IF(E163="Down","Low first (main side)",IF(E163="Up","Low first (wick side)","Low first"))))),"Check entries"))</f>
        <v/>
      </c>
      <c r="X163" s="28" t="n"/>
      <c r="Y163" s="27" t="n"/>
      <c r="Z163" s="27" t="n"/>
      <c r="AA163" s="27" t="n"/>
      <c r="AB163" s="27" t="n"/>
      <c r="AC163" s="27" t="n"/>
      <c r="AD163" s="27" t="n"/>
      <c r="AE163" s="28" t="n"/>
      <c r="AF163" s="30" t="n"/>
      <c r="AG163" s="27" t="n"/>
    </row>
    <row r="164">
      <c r="A164" s="25" t="n"/>
      <c r="B164" s="26">
        <f>IF(ISNUMBER(A164),TEXT(A164,"ddd"),"")</f>
        <v/>
      </c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8" t="n"/>
      <c r="M164" s="26">
        <f>IF(OR(L164="",AND(E164&lt;&gt;"Up",E164&lt;&gt;"Down")),"",IF(OR(L164="In line",L164="Mixed"),"Neutral data",IF(OR(AND(L164="Hotter",E164="Down"),AND(L164="Cooler",E164="Up")),"With data","Against data")))</f>
        <v/>
      </c>
      <c r="N164" s="28" t="n"/>
      <c r="O164" s="27" t="n"/>
      <c r="P164" s="27" t="n"/>
      <c r="Q164" s="28" t="n"/>
      <c r="R164" s="27" t="n"/>
      <c r="S164" s="29" t="n"/>
      <c r="T164" s="27" t="n"/>
      <c r="U164" s="27" t="n"/>
      <c r="V164" s="26">
        <f>IF(OR(AND(E164&lt;&gt;"Up",E164&lt;&gt;"Down"),NOT(ISNUMBER(S164)),IF(E164="Up",Q164,R164)=""),"",IF(S164&gt;=100,"Back to open",IF(OR(IF(E164="Up",Q164,R164)="1-5 min",IF(E164="Up",Q164,R164)="5-15 min"),"Continued",IF(S164&gt;=50,"Partial retrace","Stalled / chop"))))</f>
        <v/>
      </c>
      <c r="W164" s="26">
        <f>IF(OR(Q164="",R164=""),"",IFERROR(IF(AND(Q164="Not by 16:00",R164="Not by 16:00"),"Neither taken",IF(FIND("|"&amp;Q164&amp;"|","|1-5 min|5-15 min|15-60 min|9:30-11:00|11:00-16:00|Not by 16:00|")=FIND("|"&amp;R164&amp;"|","|1-5 min|5-15 min|15-60 min|9:30-11:00|11:00-16:00|Not by 16:00|"),"Same window",IF(FIND("|"&amp;Q164&amp;"|","|1-5 min|5-15 min|15-60 min|9:30-11:00|11:00-16:00|Not by 16:00|")&lt;FIND("|"&amp;R164&amp;"|","|1-5 min|5-15 min|15-60 min|9:30-11:00|11:00-16:00|Not by 16:00|"),IF(E164="Up","High first (main side)",IF(E164="Down","High first (wick side)","High first")),IF(E164="Down","Low first (main side)",IF(E164="Up","Low first (wick side)","Low first"))))),"Check entries"))</f>
        <v/>
      </c>
      <c r="X164" s="28" t="n"/>
      <c r="Y164" s="27" t="n"/>
      <c r="Z164" s="27" t="n"/>
      <c r="AA164" s="27" t="n"/>
      <c r="AB164" s="27" t="n"/>
      <c r="AC164" s="27" t="n"/>
      <c r="AD164" s="27" t="n"/>
      <c r="AE164" s="28" t="n"/>
      <c r="AF164" s="30" t="n"/>
      <c r="AG164" s="27" t="n"/>
    </row>
    <row r="165">
      <c r="A165" s="25" t="n"/>
      <c r="B165" s="26">
        <f>IF(ISNUMBER(A165),TEXT(A165,"ddd"),"")</f>
        <v/>
      </c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8" t="n"/>
      <c r="M165" s="26">
        <f>IF(OR(L165="",AND(E165&lt;&gt;"Up",E165&lt;&gt;"Down")),"",IF(OR(L165="In line",L165="Mixed"),"Neutral data",IF(OR(AND(L165="Hotter",E165="Down"),AND(L165="Cooler",E165="Up")),"With data","Against data")))</f>
        <v/>
      </c>
      <c r="N165" s="28" t="n"/>
      <c r="O165" s="27" t="n"/>
      <c r="P165" s="27" t="n"/>
      <c r="Q165" s="28" t="n"/>
      <c r="R165" s="27" t="n"/>
      <c r="S165" s="29" t="n"/>
      <c r="T165" s="27" t="n"/>
      <c r="U165" s="27" t="n"/>
      <c r="V165" s="26">
        <f>IF(OR(AND(E165&lt;&gt;"Up",E165&lt;&gt;"Down"),NOT(ISNUMBER(S165)),IF(E165="Up",Q165,R165)=""),"",IF(S165&gt;=100,"Back to open",IF(OR(IF(E165="Up",Q165,R165)="1-5 min",IF(E165="Up",Q165,R165)="5-15 min"),"Continued",IF(S165&gt;=50,"Partial retrace","Stalled / chop"))))</f>
        <v/>
      </c>
      <c r="W165" s="26">
        <f>IF(OR(Q165="",R165=""),"",IFERROR(IF(AND(Q165="Not by 16:00",R165="Not by 16:00"),"Neither taken",IF(FIND("|"&amp;Q165&amp;"|","|1-5 min|5-15 min|15-60 min|9:30-11:00|11:00-16:00|Not by 16:00|")=FIND("|"&amp;R165&amp;"|","|1-5 min|5-15 min|15-60 min|9:30-11:00|11:00-16:00|Not by 16:00|"),"Same window",IF(FIND("|"&amp;Q165&amp;"|","|1-5 min|5-15 min|15-60 min|9:30-11:00|11:00-16:00|Not by 16:00|")&lt;FIND("|"&amp;R165&amp;"|","|1-5 min|5-15 min|15-60 min|9:30-11:00|11:00-16:00|Not by 16:00|"),IF(E165="Up","High first (main side)",IF(E165="Down","High first (wick side)","High first")),IF(E165="Down","Low first (main side)",IF(E165="Up","Low first (wick side)","Low first"))))),"Check entries"))</f>
        <v/>
      </c>
      <c r="X165" s="28" t="n"/>
      <c r="Y165" s="27" t="n"/>
      <c r="Z165" s="27" t="n"/>
      <c r="AA165" s="27" t="n"/>
      <c r="AB165" s="27" t="n"/>
      <c r="AC165" s="27" t="n"/>
      <c r="AD165" s="27" t="n"/>
      <c r="AE165" s="28" t="n"/>
      <c r="AF165" s="30" t="n"/>
      <c r="AG165" s="27" t="n"/>
    </row>
    <row r="166">
      <c r="A166" s="25" t="n"/>
      <c r="B166" s="26">
        <f>IF(ISNUMBER(A166),TEXT(A166,"ddd"),"")</f>
        <v/>
      </c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8" t="n"/>
      <c r="M166" s="26">
        <f>IF(OR(L166="",AND(E166&lt;&gt;"Up",E166&lt;&gt;"Down")),"",IF(OR(L166="In line",L166="Mixed"),"Neutral data",IF(OR(AND(L166="Hotter",E166="Down"),AND(L166="Cooler",E166="Up")),"With data","Against data")))</f>
        <v/>
      </c>
      <c r="N166" s="28" t="n"/>
      <c r="O166" s="27" t="n"/>
      <c r="P166" s="27" t="n"/>
      <c r="Q166" s="28" t="n"/>
      <c r="R166" s="27" t="n"/>
      <c r="S166" s="29" t="n"/>
      <c r="T166" s="27" t="n"/>
      <c r="U166" s="27" t="n"/>
      <c r="V166" s="26">
        <f>IF(OR(AND(E166&lt;&gt;"Up",E166&lt;&gt;"Down"),NOT(ISNUMBER(S166)),IF(E166="Up",Q166,R166)=""),"",IF(S166&gt;=100,"Back to open",IF(OR(IF(E166="Up",Q166,R166)="1-5 min",IF(E166="Up",Q166,R166)="5-15 min"),"Continued",IF(S166&gt;=50,"Partial retrace","Stalled / chop"))))</f>
        <v/>
      </c>
      <c r="W166" s="26">
        <f>IF(OR(Q166="",R166=""),"",IFERROR(IF(AND(Q166="Not by 16:00",R166="Not by 16:00"),"Neither taken",IF(FIND("|"&amp;Q166&amp;"|","|1-5 min|5-15 min|15-60 min|9:30-11:00|11:00-16:00|Not by 16:00|")=FIND("|"&amp;R166&amp;"|","|1-5 min|5-15 min|15-60 min|9:30-11:00|11:00-16:00|Not by 16:00|"),"Same window",IF(FIND("|"&amp;Q166&amp;"|","|1-5 min|5-15 min|15-60 min|9:30-11:00|11:00-16:00|Not by 16:00|")&lt;FIND("|"&amp;R166&amp;"|","|1-5 min|5-15 min|15-60 min|9:30-11:00|11:00-16:00|Not by 16:00|"),IF(E166="Up","High first (main side)",IF(E166="Down","High first (wick side)","High first")),IF(E166="Down","Low first (main side)",IF(E166="Up","Low first (wick side)","Low first"))))),"Check entries"))</f>
        <v/>
      </c>
      <c r="X166" s="28" t="n"/>
      <c r="Y166" s="27" t="n"/>
      <c r="Z166" s="27" t="n"/>
      <c r="AA166" s="27" t="n"/>
      <c r="AB166" s="27" t="n"/>
      <c r="AC166" s="27" t="n"/>
      <c r="AD166" s="27" t="n"/>
      <c r="AE166" s="28" t="n"/>
      <c r="AF166" s="30" t="n"/>
      <c r="AG166" s="27" t="n"/>
    </row>
    <row r="167">
      <c r="A167" s="25" t="n"/>
      <c r="B167" s="26">
        <f>IF(ISNUMBER(A167),TEXT(A167,"ddd"),"")</f>
        <v/>
      </c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8" t="n"/>
      <c r="M167" s="26">
        <f>IF(OR(L167="",AND(E167&lt;&gt;"Up",E167&lt;&gt;"Down")),"",IF(OR(L167="In line",L167="Mixed"),"Neutral data",IF(OR(AND(L167="Hotter",E167="Down"),AND(L167="Cooler",E167="Up")),"With data","Against data")))</f>
        <v/>
      </c>
      <c r="N167" s="28" t="n"/>
      <c r="O167" s="27" t="n"/>
      <c r="P167" s="27" t="n"/>
      <c r="Q167" s="28" t="n"/>
      <c r="R167" s="27" t="n"/>
      <c r="S167" s="29" t="n"/>
      <c r="T167" s="27" t="n"/>
      <c r="U167" s="27" t="n"/>
      <c r="V167" s="26">
        <f>IF(OR(AND(E167&lt;&gt;"Up",E167&lt;&gt;"Down"),NOT(ISNUMBER(S167)),IF(E167="Up",Q167,R167)=""),"",IF(S167&gt;=100,"Back to open",IF(OR(IF(E167="Up",Q167,R167)="1-5 min",IF(E167="Up",Q167,R167)="5-15 min"),"Continued",IF(S167&gt;=50,"Partial retrace","Stalled / chop"))))</f>
        <v/>
      </c>
      <c r="W167" s="26">
        <f>IF(OR(Q167="",R167=""),"",IFERROR(IF(AND(Q167="Not by 16:00",R167="Not by 16:00"),"Neither taken",IF(FIND("|"&amp;Q167&amp;"|","|1-5 min|5-15 min|15-60 min|9:30-11:00|11:00-16:00|Not by 16:00|")=FIND("|"&amp;R167&amp;"|","|1-5 min|5-15 min|15-60 min|9:30-11:00|11:00-16:00|Not by 16:00|"),"Same window",IF(FIND("|"&amp;Q167&amp;"|","|1-5 min|5-15 min|15-60 min|9:30-11:00|11:00-16:00|Not by 16:00|")&lt;FIND("|"&amp;R167&amp;"|","|1-5 min|5-15 min|15-60 min|9:30-11:00|11:00-16:00|Not by 16:00|"),IF(E167="Up","High first (main side)",IF(E167="Down","High first (wick side)","High first")),IF(E167="Down","Low first (main side)",IF(E167="Up","Low first (wick side)","Low first"))))),"Check entries"))</f>
        <v/>
      </c>
      <c r="X167" s="28" t="n"/>
      <c r="Y167" s="27" t="n"/>
      <c r="Z167" s="27" t="n"/>
      <c r="AA167" s="27" t="n"/>
      <c r="AB167" s="27" t="n"/>
      <c r="AC167" s="27" t="n"/>
      <c r="AD167" s="27" t="n"/>
      <c r="AE167" s="28" t="n"/>
      <c r="AF167" s="30" t="n"/>
      <c r="AG167" s="27" t="n"/>
    </row>
    <row r="168">
      <c r="A168" s="25" t="n"/>
      <c r="B168" s="26">
        <f>IF(ISNUMBER(A168),TEXT(A168,"ddd"),"")</f>
        <v/>
      </c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8" t="n"/>
      <c r="M168" s="26">
        <f>IF(OR(L168="",AND(E168&lt;&gt;"Up",E168&lt;&gt;"Down")),"",IF(OR(L168="In line",L168="Mixed"),"Neutral data",IF(OR(AND(L168="Hotter",E168="Down"),AND(L168="Cooler",E168="Up")),"With data","Against data")))</f>
        <v/>
      </c>
      <c r="N168" s="28" t="n"/>
      <c r="O168" s="27" t="n"/>
      <c r="P168" s="27" t="n"/>
      <c r="Q168" s="28" t="n"/>
      <c r="R168" s="27" t="n"/>
      <c r="S168" s="29" t="n"/>
      <c r="T168" s="27" t="n"/>
      <c r="U168" s="27" t="n"/>
      <c r="V168" s="26">
        <f>IF(OR(AND(E168&lt;&gt;"Up",E168&lt;&gt;"Down"),NOT(ISNUMBER(S168)),IF(E168="Up",Q168,R168)=""),"",IF(S168&gt;=100,"Back to open",IF(OR(IF(E168="Up",Q168,R168)="1-5 min",IF(E168="Up",Q168,R168)="5-15 min"),"Continued",IF(S168&gt;=50,"Partial retrace","Stalled / chop"))))</f>
        <v/>
      </c>
      <c r="W168" s="26">
        <f>IF(OR(Q168="",R168=""),"",IFERROR(IF(AND(Q168="Not by 16:00",R168="Not by 16:00"),"Neither taken",IF(FIND("|"&amp;Q168&amp;"|","|1-5 min|5-15 min|15-60 min|9:30-11:00|11:00-16:00|Not by 16:00|")=FIND("|"&amp;R168&amp;"|","|1-5 min|5-15 min|15-60 min|9:30-11:00|11:00-16:00|Not by 16:00|"),"Same window",IF(FIND("|"&amp;Q168&amp;"|","|1-5 min|5-15 min|15-60 min|9:30-11:00|11:00-16:00|Not by 16:00|")&lt;FIND("|"&amp;R168&amp;"|","|1-5 min|5-15 min|15-60 min|9:30-11:00|11:00-16:00|Not by 16:00|"),IF(E168="Up","High first (main side)",IF(E168="Down","High first (wick side)","High first")),IF(E168="Down","Low first (main side)",IF(E168="Up","Low first (wick side)","Low first"))))),"Check entries"))</f>
        <v/>
      </c>
      <c r="X168" s="28" t="n"/>
      <c r="Y168" s="27" t="n"/>
      <c r="Z168" s="27" t="n"/>
      <c r="AA168" s="27" t="n"/>
      <c r="AB168" s="27" t="n"/>
      <c r="AC168" s="27" t="n"/>
      <c r="AD168" s="27" t="n"/>
      <c r="AE168" s="28" t="n"/>
      <c r="AF168" s="30" t="n"/>
      <c r="AG168" s="27" t="n"/>
    </row>
    <row r="169">
      <c r="A169" s="25" t="n"/>
      <c r="B169" s="26">
        <f>IF(ISNUMBER(A169),TEXT(A169,"ddd"),"")</f>
        <v/>
      </c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8" t="n"/>
      <c r="M169" s="26">
        <f>IF(OR(L169="",AND(E169&lt;&gt;"Up",E169&lt;&gt;"Down")),"",IF(OR(L169="In line",L169="Mixed"),"Neutral data",IF(OR(AND(L169="Hotter",E169="Down"),AND(L169="Cooler",E169="Up")),"With data","Against data")))</f>
        <v/>
      </c>
      <c r="N169" s="28" t="n"/>
      <c r="O169" s="27" t="n"/>
      <c r="P169" s="27" t="n"/>
      <c r="Q169" s="28" t="n"/>
      <c r="R169" s="27" t="n"/>
      <c r="S169" s="29" t="n"/>
      <c r="T169" s="27" t="n"/>
      <c r="U169" s="27" t="n"/>
      <c r="V169" s="26">
        <f>IF(OR(AND(E169&lt;&gt;"Up",E169&lt;&gt;"Down"),NOT(ISNUMBER(S169)),IF(E169="Up",Q169,R169)=""),"",IF(S169&gt;=100,"Back to open",IF(OR(IF(E169="Up",Q169,R169)="1-5 min",IF(E169="Up",Q169,R169)="5-15 min"),"Continued",IF(S169&gt;=50,"Partial retrace","Stalled / chop"))))</f>
        <v/>
      </c>
      <c r="W169" s="26">
        <f>IF(OR(Q169="",R169=""),"",IFERROR(IF(AND(Q169="Not by 16:00",R169="Not by 16:00"),"Neither taken",IF(FIND("|"&amp;Q169&amp;"|","|1-5 min|5-15 min|15-60 min|9:30-11:00|11:00-16:00|Not by 16:00|")=FIND("|"&amp;R169&amp;"|","|1-5 min|5-15 min|15-60 min|9:30-11:00|11:00-16:00|Not by 16:00|"),"Same window",IF(FIND("|"&amp;Q169&amp;"|","|1-5 min|5-15 min|15-60 min|9:30-11:00|11:00-16:00|Not by 16:00|")&lt;FIND("|"&amp;R169&amp;"|","|1-5 min|5-15 min|15-60 min|9:30-11:00|11:00-16:00|Not by 16:00|"),IF(E169="Up","High first (main side)",IF(E169="Down","High first (wick side)","High first")),IF(E169="Down","Low first (main side)",IF(E169="Up","Low first (wick side)","Low first"))))),"Check entries"))</f>
        <v/>
      </c>
      <c r="X169" s="28" t="n"/>
      <c r="Y169" s="27" t="n"/>
      <c r="Z169" s="27" t="n"/>
      <c r="AA169" s="27" t="n"/>
      <c r="AB169" s="27" t="n"/>
      <c r="AC169" s="27" t="n"/>
      <c r="AD169" s="27" t="n"/>
      <c r="AE169" s="28" t="n"/>
      <c r="AF169" s="30" t="n"/>
      <c r="AG169" s="27" t="n"/>
    </row>
    <row r="170">
      <c r="A170" s="25" t="n"/>
      <c r="B170" s="26">
        <f>IF(ISNUMBER(A170),TEXT(A170,"ddd"),"")</f>
        <v/>
      </c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8" t="n"/>
      <c r="M170" s="26">
        <f>IF(OR(L170="",AND(E170&lt;&gt;"Up",E170&lt;&gt;"Down")),"",IF(OR(L170="In line",L170="Mixed"),"Neutral data",IF(OR(AND(L170="Hotter",E170="Down"),AND(L170="Cooler",E170="Up")),"With data","Against data")))</f>
        <v/>
      </c>
      <c r="N170" s="28" t="n"/>
      <c r="O170" s="27" t="n"/>
      <c r="P170" s="27" t="n"/>
      <c r="Q170" s="28" t="n"/>
      <c r="R170" s="27" t="n"/>
      <c r="S170" s="29" t="n"/>
      <c r="T170" s="27" t="n"/>
      <c r="U170" s="27" t="n"/>
      <c r="V170" s="26">
        <f>IF(OR(AND(E170&lt;&gt;"Up",E170&lt;&gt;"Down"),NOT(ISNUMBER(S170)),IF(E170="Up",Q170,R170)=""),"",IF(S170&gt;=100,"Back to open",IF(OR(IF(E170="Up",Q170,R170)="1-5 min",IF(E170="Up",Q170,R170)="5-15 min"),"Continued",IF(S170&gt;=50,"Partial retrace","Stalled / chop"))))</f>
        <v/>
      </c>
      <c r="W170" s="26">
        <f>IF(OR(Q170="",R170=""),"",IFERROR(IF(AND(Q170="Not by 16:00",R170="Not by 16:00"),"Neither taken",IF(FIND("|"&amp;Q170&amp;"|","|1-5 min|5-15 min|15-60 min|9:30-11:00|11:00-16:00|Not by 16:00|")=FIND("|"&amp;R170&amp;"|","|1-5 min|5-15 min|15-60 min|9:30-11:00|11:00-16:00|Not by 16:00|"),"Same window",IF(FIND("|"&amp;Q170&amp;"|","|1-5 min|5-15 min|15-60 min|9:30-11:00|11:00-16:00|Not by 16:00|")&lt;FIND("|"&amp;R170&amp;"|","|1-5 min|5-15 min|15-60 min|9:30-11:00|11:00-16:00|Not by 16:00|"),IF(E170="Up","High first (main side)",IF(E170="Down","High first (wick side)","High first")),IF(E170="Down","Low first (main side)",IF(E170="Up","Low first (wick side)","Low first"))))),"Check entries"))</f>
        <v/>
      </c>
      <c r="X170" s="28" t="n"/>
      <c r="Y170" s="27" t="n"/>
      <c r="Z170" s="27" t="n"/>
      <c r="AA170" s="27" t="n"/>
      <c r="AB170" s="27" t="n"/>
      <c r="AC170" s="27" t="n"/>
      <c r="AD170" s="27" t="n"/>
      <c r="AE170" s="28" t="n"/>
      <c r="AF170" s="30" t="n"/>
      <c r="AG170" s="27" t="n"/>
    </row>
    <row r="171">
      <c r="A171" s="25" t="n"/>
      <c r="B171" s="26">
        <f>IF(ISNUMBER(A171),TEXT(A171,"ddd"),"")</f>
        <v/>
      </c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8" t="n"/>
      <c r="M171" s="26">
        <f>IF(OR(L171="",AND(E171&lt;&gt;"Up",E171&lt;&gt;"Down")),"",IF(OR(L171="In line",L171="Mixed"),"Neutral data",IF(OR(AND(L171="Hotter",E171="Down"),AND(L171="Cooler",E171="Up")),"With data","Against data")))</f>
        <v/>
      </c>
      <c r="N171" s="28" t="n"/>
      <c r="O171" s="27" t="n"/>
      <c r="P171" s="27" t="n"/>
      <c r="Q171" s="28" t="n"/>
      <c r="R171" s="27" t="n"/>
      <c r="S171" s="29" t="n"/>
      <c r="T171" s="27" t="n"/>
      <c r="U171" s="27" t="n"/>
      <c r="V171" s="26">
        <f>IF(OR(AND(E171&lt;&gt;"Up",E171&lt;&gt;"Down"),NOT(ISNUMBER(S171)),IF(E171="Up",Q171,R171)=""),"",IF(S171&gt;=100,"Back to open",IF(OR(IF(E171="Up",Q171,R171)="1-5 min",IF(E171="Up",Q171,R171)="5-15 min"),"Continued",IF(S171&gt;=50,"Partial retrace","Stalled / chop"))))</f>
        <v/>
      </c>
      <c r="W171" s="26">
        <f>IF(OR(Q171="",R171=""),"",IFERROR(IF(AND(Q171="Not by 16:00",R171="Not by 16:00"),"Neither taken",IF(FIND("|"&amp;Q171&amp;"|","|1-5 min|5-15 min|15-60 min|9:30-11:00|11:00-16:00|Not by 16:00|")=FIND("|"&amp;R171&amp;"|","|1-5 min|5-15 min|15-60 min|9:30-11:00|11:00-16:00|Not by 16:00|"),"Same window",IF(FIND("|"&amp;Q171&amp;"|","|1-5 min|5-15 min|15-60 min|9:30-11:00|11:00-16:00|Not by 16:00|")&lt;FIND("|"&amp;R171&amp;"|","|1-5 min|5-15 min|15-60 min|9:30-11:00|11:00-16:00|Not by 16:00|"),IF(E171="Up","High first (main side)",IF(E171="Down","High first (wick side)","High first")),IF(E171="Down","Low first (main side)",IF(E171="Up","Low first (wick side)","Low first"))))),"Check entries"))</f>
        <v/>
      </c>
      <c r="X171" s="28" t="n"/>
      <c r="Y171" s="27" t="n"/>
      <c r="Z171" s="27" t="n"/>
      <c r="AA171" s="27" t="n"/>
      <c r="AB171" s="27" t="n"/>
      <c r="AC171" s="27" t="n"/>
      <c r="AD171" s="27" t="n"/>
      <c r="AE171" s="28" t="n"/>
      <c r="AF171" s="30" t="n"/>
      <c r="AG171" s="27" t="n"/>
    </row>
    <row r="172">
      <c r="A172" s="25" t="n"/>
      <c r="B172" s="26">
        <f>IF(ISNUMBER(A172),TEXT(A172,"ddd"),"")</f>
        <v/>
      </c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8" t="n"/>
      <c r="M172" s="26">
        <f>IF(OR(L172="",AND(E172&lt;&gt;"Up",E172&lt;&gt;"Down")),"",IF(OR(L172="In line",L172="Mixed"),"Neutral data",IF(OR(AND(L172="Hotter",E172="Down"),AND(L172="Cooler",E172="Up")),"With data","Against data")))</f>
        <v/>
      </c>
      <c r="N172" s="28" t="n"/>
      <c r="O172" s="27" t="n"/>
      <c r="P172" s="27" t="n"/>
      <c r="Q172" s="28" t="n"/>
      <c r="R172" s="27" t="n"/>
      <c r="S172" s="29" t="n"/>
      <c r="T172" s="27" t="n"/>
      <c r="U172" s="27" t="n"/>
      <c r="V172" s="26">
        <f>IF(OR(AND(E172&lt;&gt;"Up",E172&lt;&gt;"Down"),NOT(ISNUMBER(S172)),IF(E172="Up",Q172,R172)=""),"",IF(S172&gt;=100,"Back to open",IF(OR(IF(E172="Up",Q172,R172)="1-5 min",IF(E172="Up",Q172,R172)="5-15 min"),"Continued",IF(S172&gt;=50,"Partial retrace","Stalled / chop"))))</f>
        <v/>
      </c>
      <c r="W172" s="26">
        <f>IF(OR(Q172="",R172=""),"",IFERROR(IF(AND(Q172="Not by 16:00",R172="Not by 16:00"),"Neither taken",IF(FIND("|"&amp;Q172&amp;"|","|1-5 min|5-15 min|15-60 min|9:30-11:00|11:00-16:00|Not by 16:00|")=FIND("|"&amp;R172&amp;"|","|1-5 min|5-15 min|15-60 min|9:30-11:00|11:00-16:00|Not by 16:00|"),"Same window",IF(FIND("|"&amp;Q172&amp;"|","|1-5 min|5-15 min|15-60 min|9:30-11:00|11:00-16:00|Not by 16:00|")&lt;FIND("|"&amp;R172&amp;"|","|1-5 min|5-15 min|15-60 min|9:30-11:00|11:00-16:00|Not by 16:00|"),IF(E172="Up","High first (main side)",IF(E172="Down","High first (wick side)","High first")),IF(E172="Down","Low first (main side)",IF(E172="Up","Low first (wick side)","Low first"))))),"Check entries"))</f>
        <v/>
      </c>
      <c r="X172" s="28" t="n"/>
      <c r="Y172" s="27" t="n"/>
      <c r="Z172" s="27" t="n"/>
      <c r="AA172" s="27" t="n"/>
      <c r="AB172" s="27" t="n"/>
      <c r="AC172" s="27" t="n"/>
      <c r="AD172" s="27" t="n"/>
      <c r="AE172" s="28" t="n"/>
      <c r="AF172" s="30" t="n"/>
      <c r="AG172" s="27" t="n"/>
    </row>
    <row r="173">
      <c r="A173" s="25" t="n"/>
      <c r="B173" s="26">
        <f>IF(ISNUMBER(A173),TEXT(A173,"ddd"),"")</f>
        <v/>
      </c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8" t="n"/>
      <c r="M173" s="26">
        <f>IF(OR(L173="",AND(E173&lt;&gt;"Up",E173&lt;&gt;"Down")),"",IF(OR(L173="In line",L173="Mixed"),"Neutral data",IF(OR(AND(L173="Hotter",E173="Down"),AND(L173="Cooler",E173="Up")),"With data","Against data")))</f>
        <v/>
      </c>
      <c r="N173" s="28" t="n"/>
      <c r="O173" s="27" t="n"/>
      <c r="P173" s="27" t="n"/>
      <c r="Q173" s="28" t="n"/>
      <c r="R173" s="27" t="n"/>
      <c r="S173" s="29" t="n"/>
      <c r="T173" s="27" t="n"/>
      <c r="U173" s="27" t="n"/>
      <c r="V173" s="26">
        <f>IF(OR(AND(E173&lt;&gt;"Up",E173&lt;&gt;"Down"),NOT(ISNUMBER(S173)),IF(E173="Up",Q173,R173)=""),"",IF(S173&gt;=100,"Back to open",IF(OR(IF(E173="Up",Q173,R173)="1-5 min",IF(E173="Up",Q173,R173)="5-15 min"),"Continued",IF(S173&gt;=50,"Partial retrace","Stalled / chop"))))</f>
        <v/>
      </c>
      <c r="W173" s="26">
        <f>IF(OR(Q173="",R173=""),"",IFERROR(IF(AND(Q173="Not by 16:00",R173="Not by 16:00"),"Neither taken",IF(FIND("|"&amp;Q173&amp;"|","|1-5 min|5-15 min|15-60 min|9:30-11:00|11:00-16:00|Not by 16:00|")=FIND("|"&amp;R173&amp;"|","|1-5 min|5-15 min|15-60 min|9:30-11:00|11:00-16:00|Not by 16:00|"),"Same window",IF(FIND("|"&amp;Q173&amp;"|","|1-5 min|5-15 min|15-60 min|9:30-11:00|11:00-16:00|Not by 16:00|")&lt;FIND("|"&amp;R173&amp;"|","|1-5 min|5-15 min|15-60 min|9:30-11:00|11:00-16:00|Not by 16:00|"),IF(E173="Up","High first (main side)",IF(E173="Down","High first (wick side)","High first")),IF(E173="Down","Low first (main side)",IF(E173="Up","Low first (wick side)","Low first"))))),"Check entries"))</f>
        <v/>
      </c>
      <c r="X173" s="28" t="n"/>
      <c r="Y173" s="27" t="n"/>
      <c r="Z173" s="27" t="n"/>
      <c r="AA173" s="27" t="n"/>
      <c r="AB173" s="27" t="n"/>
      <c r="AC173" s="27" t="n"/>
      <c r="AD173" s="27" t="n"/>
      <c r="AE173" s="28" t="n"/>
      <c r="AF173" s="30" t="n"/>
      <c r="AG173" s="27" t="n"/>
    </row>
    <row r="174">
      <c r="A174" s="25" t="n"/>
      <c r="B174" s="26">
        <f>IF(ISNUMBER(A174),TEXT(A174,"ddd"),"")</f>
        <v/>
      </c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8" t="n"/>
      <c r="M174" s="26">
        <f>IF(OR(L174="",AND(E174&lt;&gt;"Up",E174&lt;&gt;"Down")),"",IF(OR(L174="In line",L174="Mixed"),"Neutral data",IF(OR(AND(L174="Hotter",E174="Down"),AND(L174="Cooler",E174="Up")),"With data","Against data")))</f>
        <v/>
      </c>
      <c r="N174" s="28" t="n"/>
      <c r="O174" s="27" t="n"/>
      <c r="P174" s="27" t="n"/>
      <c r="Q174" s="28" t="n"/>
      <c r="R174" s="27" t="n"/>
      <c r="S174" s="29" t="n"/>
      <c r="T174" s="27" t="n"/>
      <c r="U174" s="27" t="n"/>
      <c r="V174" s="26">
        <f>IF(OR(AND(E174&lt;&gt;"Up",E174&lt;&gt;"Down"),NOT(ISNUMBER(S174)),IF(E174="Up",Q174,R174)=""),"",IF(S174&gt;=100,"Back to open",IF(OR(IF(E174="Up",Q174,R174)="1-5 min",IF(E174="Up",Q174,R174)="5-15 min"),"Continued",IF(S174&gt;=50,"Partial retrace","Stalled / chop"))))</f>
        <v/>
      </c>
      <c r="W174" s="26">
        <f>IF(OR(Q174="",R174=""),"",IFERROR(IF(AND(Q174="Not by 16:00",R174="Not by 16:00"),"Neither taken",IF(FIND("|"&amp;Q174&amp;"|","|1-5 min|5-15 min|15-60 min|9:30-11:00|11:00-16:00|Not by 16:00|")=FIND("|"&amp;R174&amp;"|","|1-5 min|5-15 min|15-60 min|9:30-11:00|11:00-16:00|Not by 16:00|"),"Same window",IF(FIND("|"&amp;Q174&amp;"|","|1-5 min|5-15 min|15-60 min|9:30-11:00|11:00-16:00|Not by 16:00|")&lt;FIND("|"&amp;R174&amp;"|","|1-5 min|5-15 min|15-60 min|9:30-11:00|11:00-16:00|Not by 16:00|"),IF(E174="Up","High first (main side)",IF(E174="Down","High first (wick side)","High first")),IF(E174="Down","Low first (main side)",IF(E174="Up","Low first (wick side)","Low first"))))),"Check entries"))</f>
        <v/>
      </c>
      <c r="X174" s="28" t="n"/>
      <c r="Y174" s="27" t="n"/>
      <c r="Z174" s="27" t="n"/>
      <c r="AA174" s="27" t="n"/>
      <c r="AB174" s="27" t="n"/>
      <c r="AC174" s="27" t="n"/>
      <c r="AD174" s="27" t="n"/>
      <c r="AE174" s="28" t="n"/>
      <c r="AF174" s="30" t="n"/>
      <c r="AG174" s="27" t="n"/>
    </row>
    <row r="175">
      <c r="A175" s="25" t="n"/>
      <c r="B175" s="26">
        <f>IF(ISNUMBER(A175),TEXT(A175,"ddd"),"")</f>
        <v/>
      </c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8" t="n"/>
      <c r="M175" s="26">
        <f>IF(OR(L175="",AND(E175&lt;&gt;"Up",E175&lt;&gt;"Down")),"",IF(OR(L175="In line",L175="Mixed"),"Neutral data",IF(OR(AND(L175="Hotter",E175="Down"),AND(L175="Cooler",E175="Up")),"With data","Against data")))</f>
        <v/>
      </c>
      <c r="N175" s="28" t="n"/>
      <c r="O175" s="27" t="n"/>
      <c r="P175" s="27" t="n"/>
      <c r="Q175" s="28" t="n"/>
      <c r="R175" s="27" t="n"/>
      <c r="S175" s="29" t="n"/>
      <c r="T175" s="27" t="n"/>
      <c r="U175" s="27" t="n"/>
      <c r="V175" s="26">
        <f>IF(OR(AND(E175&lt;&gt;"Up",E175&lt;&gt;"Down"),NOT(ISNUMBER(S175)),IF(E175="Up",Q175,R175)=""),"",IF(S175&gt;=100,"Back to open",IF(OR(IF(E175="Up",Q175,R175)="1-5 min",IF(E175="Up",Q175,R175)="5-15 min"),"Continued",IF(S175&gt;=50,"Partial retrace","Stalled / chop"))))</f>
        <v/>
      </c>
      <c r="W175" s="26">
        <f>IF(OR(Q175="",R175=""),"",IFERROR(IF(AND(Q175="Not by 16:00",R175="Not by 16:00"),"Neither taken",IF(FIND("|"&amp;Q175&amp;"|","|1-5 min|5-15 min|15-60 min|9:30-11:00|11:00-16:00|Not by 16:00|")=FIND("|"&amp;R175&amp;"|","|1-5 min|5-15 min|15-60 min|9:30-11:00|11:00-16:00|Not by 16:00|"),"Same window",IF(FIND("|"&amp;Q175&amp;"|","|1-5 min|5-15 min|15-60 min|9:30-11:00|11:00-16:00|Not by 16:00|")&lt;FIND("|"&amp;R175&amp;"|","|1-5 min|5-15 min|15-60 min|9:30-11:00|11:00-16:00|Not by 16:00|"),IF(E175="Up","High first (main side)",IF(E175="Down","High first (wick side)","High first")),IF(E175="Down","Low first (main side)",IF(E175="Up","Low first (wick side)","Low first"))))),"Check entries"))</f>
        <v/>
      </c>
      <c r="X175" s="28" t="n"/>
      <c r="Y175" s="27" t="n"/>
      <c r="Z175" s="27" t="n"/>
      <c r="AA175" s="27" t="n"/>
      <c r="AB175" s="27" t="n"/>
      <c r="AC175" s="27" t="n"/>
      <c r="AD175" s="27" t="n"/>
      <c r="AE175" s="28" t="n"/>
      <c r="AF175" s="30" t="n"/>
      <c r="AG175" s="27" t="n"/>
    </row>
    <row r="176">
      <c r="A176" s="25" t="n"/>
      <c r="B176" s="26">
        <f>IF(ISNUMBER(A176),TEXT(A176,"ddd"),"")</f>
        <v/>
      </c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8" t="n"/>
      <c r="M176" s="26">
        <f>IF(OR(L176="",AND(E176&lt;&gt;"Up",E176&lt;&gt;"Down")),"",IF(OR(L176="In line",L176="Mixed"),"Neutral data",IF(OR(AND(L176="Hotter",E176="Down"),AND(L176="Cooler",E176="Up")),"With data","Against data")))</f>
        <v/>
      </c>
      <c r="N176" s="28" t="n"/>
      <c r="O176" s="27" t="n"/>
      <c r="P176" s="27" t="n"/>
      <c r="Q176" s="28" t="n"/>
      <c r="R176" s="27" t="n"/>
      <c r="S176" s="29" t="n"/>
      <c r="T176" s="27" t="n"/>
      <c r="U176" s="27" t="n"/>
      <c r="V176" s="26">
        <f>IF(OR(AND(E176&lt;&gt;"Up",E176&lt;&gt;"Down"),NOT(ISNUMBER(S176)),IF(E176="Up",Q176,R176)=""),"",IF(S176&gt;=100,"Back to open",IF(OR(IF(E176="Up",Q176,R176)="1-5 min",IF(E176="Up",Q176,R176)="5-15 min"),"Continued",IF(S176&gt;=50,"Partial retrace","Stalled / chop"))))</f>
        <v/>
      </c>
      <c r="W176" s="26">
        <f>IF(OR(Q176="",R176=""),"",IFERROR(IF(AND(Q176="Not by 16:00",R176="Not by 16:00"),"Neither taken",IF(FIND("|"&amp;Q176&amp;"|","|1-5 min|5-15 min|15-60 min|9:30-11:00|11:00-16:00|Not by 16:00|")=FIND("|"&amp;R176&amp;"|","|1-5 min|5-15 min|15-60 min|9:30-11:00|11:00-16:00|Not by 16:00|"),"Same window",IF(FIND("|"&amp;Q176&amp;"|","|1-5 min|5-15 min|15-60 min|9:30-11:00|11:00-16:00|Not by 16:00|")&lt;FIND("|"&amp;R176&amp;"|","|1-5 min|5-15 min|15-60 min|9:30-11:00|11:00-16:00|Not by 16:00|"),IF(E176="Up","High first (main side)",IF(E176="Down","High first (wick side)","High first")),IF(E176="Down","Low first (main side)",IF(E176="Up","Low first (wick side)","Low first"))))),"Check entries"))</f>
        <v/>
      </c>
      <c r="X176" s="28" t="n"/>
      <c r="Y176" s="27" t="n"/>
      <c r="Z176" s="27" t="n"/>
      <c r="AA176" s="27" t="n"/>
      <c r="AB176" s="27" t="n"/>
      <c r="AC176" s="27" t="n"/>
      <c r="AD176" s="27" t="n"/>
      <c r="AE176" s="28" t="n"/>
      <c r="AF176" s="30" t="n"/>
      <c r="AG176" s="27" t="n"/>
    </row>
    <row r="177">
      <c r="A177" s="25" t="n"/>
      <c r="B177" s="26">
        <f>IF(ISNUMBER(A177),TEXT(A177,"ddd"),"")</f>
        <v/>
      </c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8" t="n"/>
      <c r="M177" s="26">
        <f>IF(OR(L177="",AND(E177&lt;&gt;"Up",E177&lt;&gt;"Down")),"",IF(OR(L177="In line",L177="Mixed"),"Neutral data",IF(OR(AND(L177="Hotter",E177="Down"),AND(L177="Cooler",E177="Up")),"With data","Against data")))</f>
        <v/>
      </c>
      <c r="N177" s="28" t="n"/>
      <c r="O177" s="27" t="n"/>
      <c r="P177" s="27" t="n"/>
      <c r="Q177" s="28" t="n"/>
      <c r="R177" s="27" t="n"/>
      <c r="S177" s="29" t="n"/>
      <c r="T177" s="27" t="n"/>
      <c r="U177" s="27" t="n"/>
      <c r="V177" s="26">
        <f>IF(OR(AND(E177&lt;&gt;"Up",E177&lt;&gt;"Down"),NOT(ISNUMBER(S177)),IF(E177="Up",Q177,R177)=""),"",IF(S177&gt;=100,"Back to open",IF(OR(IF(E177="Up",Q177,R177)="1-5 min",IF(E177="Up",Q177,R177)="5-15 min"),"Continued",IF(S177&gt;=50,"Partial retrace","Stalled / chop"))))</f>
        <v/>
      </c>
      <c r="W177" s="26">
        <f>IF(OR(Q177="",R177=""),"",IFERROR(IF(AND(Q177="Not by 16:00",R177="Not by 16:00"),"Neither taken",IF(FIND("|"&amp;Q177&amp;"|","|1-5 min|5-15 min|15-60 min|9:30-11:00|11:00-16:00|Not by 16:00|")=FIND("|"&amp;R177&amp;"|","|1-5 min|5-15 min|15-60 min|9:30-11:00|11:00-16:00|Not by 16:00|"),"Same window",IF(FIND("|"&amp;Q177&amp;"|","|1-5 min|5-15 min|15-60 min|9:30-11:00|11:00-16:00|Not by 16:00|")&lt;FIND("|"&amp;R177&amp;"|","|1-5 min|5-15 min|15-60 min|9:30-11:00|11:00-16:00|Not by 16:00|"),IF(E177="Up","High first (main side)",IF(E177="Down","High first (wick side)","High first")),IF(E177="Down","Low first (main side)",IF(E177="Up","Low first (wick side)","Low first"))))),"Check entries"))</f>
        <v/>
      </c>
      <c r="X177" s="28" t="n"/>
      <c r="Y177" s="27" t="n"/>
      <c r="Z177" s="27" t="n"/>
      <c r="AA177" s="27" t="n"/>
      <c r="AB177" s="27" t="n"/>
      <c r="AC177" s="27" t="n"/>
      <c r="AD177" s="27" t="n"/>
      <c r="AE177" s="28" t="n"/>
      <c r="AF177" s="30" t="n"/>
      <c r="AG177" s="27" t="n"/>
    </row>
    <row r="178">
      <c r="A178" s="25" t="n"/>
      <c r="B178" s="26">
        <f>IF(ISNUMBER(A178),TEXT(A178,"ddd"),"")</f>
        <v/>
      </c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8" t="n"/>
      <c r="M178" s="26">
        <f>IF(OR(L178="",AND(E178&lt;&gt;"Up",E178&lt;&gt;"Down")),"",IF(OR(L178="In line",L178="Mixed"),"Neutral data",IF(OR(AND(L178="Hotter",E178="Down"),AND(L178="Cooler",E178="Up")),"With data","Against data")))</f>
        <v/>
      </c>
      <c r="N178" s="28" t="n"/>
      <c r="O178" s="27" t="n"/>
      <c r="P178" s="27" t="n"/>
      <c r="Q178" s="28" t="n"/>
      <c r="R178" s="27" t="n"/>
      <c r="S178" s="29" t="n"/>
      <c r="T178" s="27" t="n"/>
      <c r="U178" s="27" t="n"/>
      <c r="V178" s="26">
        <f>IF(OR(AND(E178&lt;&gt;"Up",E178&lt;&gt;"Down"),NOT(ISNUMBER(S178)),IF(E178="Up",Q178,R178)=""),"",IF(S178&gt;=100,"Back to open",IF(OR(IF(E178="Up",Q178,R178)="1-5 min",IF(E178="Up",Q178,R178)="5-15 min"),"Continued",IF(S178&gt;=50,"Partial retrace","Stalled / chop"))))</f>
        <v/>
      </c>
      <c r="W178" s="26">
        <f>IF(OR(Q178="",R178=""),"",IFERROR(IF(AND(Q178="Not by 16:00",R178="Not by 16:00"),"Neither taken",IF(FIND("|"&amp;Q178&amp;"|","|1-5 min|5-15 min|15-60 min|9:30-11:00|11:00-16:00|Not by 16:00|")=FIND("|"&amp;R178&amp;"|","|1-5 min|5-15 min|15-60 min|9:30-11:00|11:00-16:00|Not by 16:00|"),"Same window",IF(FIND("|"&amp;Q178&amp;"|","|1-5 min|5-15 min|15-60 min|9:30-11:00|11:00-16:00|Not by 16:00|")&lt;FIND("|"&amp;R178&amp;"|","|1-5 min|5-15 min|15-60 min|9:30-11:00|11:00-16:00|Not by 16:00|"),IF(E178="Up","High first (main side)",IF(E178="Down","High first (wick side)","High first")),IF(E178="Down","Low first (main side)",IF(E178="Up","Low first (wick side)","Low first"))))),"Check entries"))</f>
        <v/>
      </c>
      <c r="X178" s="28" t="n"/>
      <c r="Y178" s="27" t="n"/>
      <c r="Z178" s="27" t="n"/>
      <c r="AA178" s="27" t="n"/>
      <c r="AB178" s="27" t="n"/>
      <c r="AC178" s="27" t="n"/>
      <c r="AD178" s="27" t="n"/>
      <c r="AE178" s="28" t="n"/>
      <c r="AF178" s="30" t="n"/>
      <c r="AG178" s="27" t="n"/>
    </row>
    <row r="179">
      <c r="A179" s="25" t="n"/>
      <c r="B179" s="26">
        <f>IF(ISNUMBER(A179),TEXT(A179,"ddd"),"")</f>
        <v/>
      </c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8" t="n"/>
      <c r="M179" s="26">
        <f>IF(OR(L179="",AND(E179&lt;&gt;"Up",E179&lt;&gt;"Down")),"",IF(OR(L179="In line",L179="Mixed"),"Neutral data",IF(OR(AND(L179="Hotter",E179="Down"),AND(L179="Cooler",E179="Up")),"With data","Against data")))</f>
        <v/>
      </c>
      <c r="N179" s="28" t="n"/>
      <c r="O179" s="27" t="n"/>
      <c r="P179" s="27" t="n"/>
      <c r="Q179" s="28" t="n"/>
      <c r="R179" s="27" t="n"/>
      <c r="S179" s="29" t="n"/>
      <c r="T179" s="27" t="n"/>
      <c r="U179" s="27" t="n"/>
      <c r="V179" s="26">
        <f>IF(OR(AND(E179&lt;&gt;"Up",E179&lt;&gt;"Down"),NOT(ISNUMBER(S179)),IF(E179="Up",Q179,R179)=""),"",IF(S179&gt;=100,"Back to open",IF(OR(IF(E179="Up",Q179,R179)="1-5 min",IF(E179="Up",Q179,R179)="5-15 min"),"Continued",IF(S179&gt;=50,"Partial retrace","Stalled / chop"))))</f>
        <v/>
      </c>
      <c r="W179" s="26">
        <f>IF(OR(Q179="",R179=""),"",IFERROR(IF(AND(Q179="Not by 16:00",R179="Not by 16:00"),"Neither taken",IF(FIND("|"&amp;Q179&amp;"|","|1-5 min|5-15 min|15-60 min|9:30-11:00|11:00-16:00|Not by 16:00|")=FIND("|"&amp;R179&amp;"|","|1-5 min|5-15 min|15-60 min|9:30-11:00|11:00-16:00|Not by 16:00|"),"Same window",IF(FIND("|"&amp;Q179&amp;"|","|1-5 min|5-15 min|15-60 min|9:30-11:00|11:00-16:00|Not by 16:00|")&lt;FIND("|"&amp;R179&amp;"|","|1-5 min|5-15 min|15-60 min|9:30-11:00|11:00-16:00|Not by 16:00|"),IF(E179="Up","High first (main side)",IF(E179="Down","High first (wick side)","High first")),IF(E179="Down","Low first (main side)",IF(E179="Up","Low first (wick side)","Low first"))))),"Check entries"))</f>
        <v/>
      </c>
      <c r="X179" s="28" t="n"/>
      <c r="Y179" s="27" t="n"/>
      <c r="Z179" s="27" t="n"/>
      <c r="AA179" s="27" t="n"/>
      <c r="AB179" s="27" t="n"/>
      <c r="AC179" s="27" t="n"/>
      <c r="AD179" s="27" t="n"/>
      <c r="AE179" s="28" t="n"/>
      <c r="AF179" s="30" t="n"/>
      <c r="AG179" s="27" t="n"/>
    </row>
    <row r="180">
      <c r="A180" s="25" t="n"/>
      <c r="B180" s="26">
        <f>IF(ISNUMBER(A180),TEXT(A180,"ddd"),"")</f>
        <v/>
      </c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8" t="n"/>
      <c r="M180" s="26">
        <f>IF(OR(L180="",AND(E180&lt;&gt;"Up",E180&lt;&gt;"Down")),"",IF(OR(L180="In line",L180="Mixed"),"Neutral data",IF(OR(AND(L180="Hotter",E180="Down"),AND(L180="Cooler",E180="Up")),"With data","Against data")))</f>
        <v/>
      </c>
      <c r="N180" s="28" t="n"/>
      <c r="O180" s="27" t="n"/>
      <c r="P180" s="27" t="n"/>
      <c r="Q180" s="28" t="n"/>
      <c r="R180" s="27" t="n"/>
      <c r="S180" s="29" t="n"/>
      <c r="T180" s="27" t="n"/>
      <c r="U180" s="27" t="n"/>
      <c r="V180" s="26">
        <f>IF(OR(AND(E180&lt;&gt;"Up",E180&lt;&gt;"Down"),NOT(ISNUMBER(S180)),IF(E180="Up",Q180,R180)=""),"",IF(S180&gt;=100,"Back to open",IF(OR(IF(E180="Up",Q180,R180)="1-5 min",IF(E180="Up",Q180,R180)="5-15 min"),"Continued",IF(S180&gt;=50,"Partial retrace","Stalled / chop"))))</f>
        <v/>
      </c>
      <c r="W180" s="26">
        <f>IF(OR(Q180="",R180=""),"",IFERROR(IF(AND(Q180="Not by 16:00",R180="Not by 16:00"),"Neither taken",IF(FIND("|"&amp;Q180&amp;"|","|1-5 min|5-15 min|15-60 min|9:30-11:00|11:00-16:00|Not by 16:00|")=FIND("|"&amp;R180&amp;"|","|1-5 min|5-15 min|15-60 min|9:30-11:00|11:00-16:00|Not by 16:00|"),"Same window",IF(FIND("|"&amp;Q180&amp;"|","|1-5 min|5-15 min|15-60 min|9:30-11:00|11:00-16:00|Not by 16:00|")&lt;FIND("|"&amp;R180&amp;"|","|1-5 min|5-15 min|15-60 min|9:30-11:00|11:00-16:00|Not by 16:00|"),IF(E180="Up","High first (main side)",IF(E180="Down","High first (wick side)","High first")),IF(E180="Down","Low first (main side)",IF(E180="Up","Low first (wick side)","Low first"))))),"Check entries"))</f>
        <v/>
      </c>
      <c r="X180" s="28" t="n"/>
      <c r="Y180" s="27" t="n"/>
      <c r="Z180" s="27" t="n"/>
      <c r="AA180" s="27" t="n"/>
      <c r="AB180" s="27" t="n"/>
      <c r="AC180" s="27" t="n"/>
      <c r="AD180" s="27" t="n"/>
      <c r="AE180" s="28" t="n"/>
      <c r="AF180" s="30" t="n"/>
      <c r="AG180" s="27" t="n"/>
    </row>
    <row r="181">
      <c r="A181" s="25" t="n"/>
      <c r="B181" s="26">
        <f>IF(ISNUMBER(A181),TEXT(A181,"ddd"),"")</f>
        <v/>
      </c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8" t="n"/>
      <c r="M181" s="26">
        <f>IF(OR(L181="",AND(E181&lt;&gt;"Up",E181&lt;&gt;"Down")),"",IF(OR(L181="In line",L181="Mixed"),"Neutral data",IF(OR(AND(L181="Hotter",E181="Down"),AND(L181="Cooler",E181="Up")),"With data","Against data")))</f>
        <v/>
      </c>
      <c r="N181" s="28" t="n"/>
      <c r="O181" s="27" t="n"/>
      <c r="P181" s="27" t="n"/>
      <c r="Q181" s="28" t="n"/>
      <c r="R181" s="27" t="n"/>
      <c r="S181" s="29" t="n"/>
      <c r="T181" s="27" t="n"/>
      <c r="U181" s="27" t="n"/>
      <c r="V181" s="26">
        <f>IF(OR(AND(E181&lt;&gt;"Up",E181&lt;&gt;"Down"),NOT(ISNUMBER(S181)),IF(E181="Up",Q181,R181)=""),"",IF(S181&gt;=100,"Back to open",IF(OR(IF(E181="Up",Q181,R181)="1-5 min",IF(E181="Up",Q181,R181)="5-15 min"),"Continued",IF(S181&gt;=50,"Partial retrace","Stalled / chop"))))</f>
        <v/>
      </c>
      <c r="W181" s="26">
        <f>IF(OR(Q181="",R181=""),"",IFERROR(IF(AND(Q181="Not by 16:00",R181="Not by 16:00"),"Neither taken",IF(FIND("|"&amp;Q181&amp;"|","|1-5 min|5-15 min|15-60 min|9:30-11:00|11:00-16:00|Not by 16:00|")=FIND("|"&amp;R181&amp;"|","|1-5 min|5-15 min|15-60 min|9:30-11:00|11:00-16:00|Not by 16:00|"),"Same window",IF(FIND("|"&amp;Q181&amp;"|","|1-5 min|5-15 min|15-60 min|9:30-11:00|11:00-16:00|Not by 16:00|")&lt;FIND("|"&amp;R181&amp;"|","|1-5 min|5-15 min|15-60 min|9:30-11:00|11:00-16:00|Not by 16:00|"),IF(E181="Up","High first (main side)",IF(E181="Down","High first (wick side)","High first")),IF(E181="Down","Low first (main side)",IF(E181="Up","Low first (wick side)","Low first"))))),"Check entries"))</f>
        <v/>
      </c>
      <c r="X181" s="28" t="n"/>
      <c r="Y181" s="27" t="n"/>
      <c r="Z181" s="27" t="n"/>
      <c r="AA181" s="27" t="n"/>
      <c r="AB181" s="27" t="n"/>
      <c r="AC181" s="27" t="n"/>
      <c r="AD181" s="27" t="n"/>
      <c r="AE181" s="28" t="n"/>
      <c r="AF181" s="30" t="n"/>
      <c r="AG181" s="27" t="n"/>
    </row>
    <row r="182">
      <c r="A182" s="25" t="n"/>
      <c r="B182" s="26">
        <f>IF(ISNUMBER(A182),TEXT(A182,"ddd"),"")</f>
        <v/>
      </c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8" t="n"/>
      <c r="M182" s="26">
        <f>IF(OR(L182="",AND(E182&lt;&gt;"Up",E182&lt;&gt;"Down")),"",IF(OR(L182="In line",L182="Mixed"),"Neutral data",IF(OR(AND(L182="Hotter",E182="Down"),AND(L182="Cooler",E182="Up")),"With data","Against data")))</f>
        <v/>
      </c>
      <c r="N182" s="28" t="n"/>
      <c r="O182" s="27" t="n"/>
      <c r="P182" s="27" t="n"/>
      <c r="Q182" s="28" t="n"/>
      <c r="R182" s="27" t="n"/>
      <c r="S182" s="29" t="n"/>
      <c r="T182" s="27" t="n"/>
      <c r="U182" s="27" t="n"/>
      <c r="V182" s="26">
        <f>IF(OR(AND(E182&lt;&gt;"Up",E182&lt;&gt;"Down"),NOT(ISNUMBER(S182)),IF(E182="Up",Q182,R182)=""),"",IF(S182&gt;=100,"Back to open",IF(OR(IF(E182="Up",Q182,R182)="1-5 min",IF(E182="Up",Q182,R182)="5-15 min"),"Continued",IF(S182&gt;=50,"Partial retrace","Stalled / chop"))))</f>
        <v/>
      </c>
      <c r="W182" s="26">
        <f>IF(OR(Q182="",R182=""),"",IFERROR(IF(AND(Q182="Not by 16:00",R182="Not by 16:00"),"Neither taken",IF(FIND("|"&amp;Q182&amp;"|","|1-5 min|5-15 min|15-60 min|9:30-11:00|11:00-16:00|Not by 16:00|")=FIND("|"&amp;R182&amp;"|","|1-5 min|5-15 min|15-60 min|9:30-11:00|11:00-16:00|Not by 16:00|"),"Same window",IF(FIND("|"&amp;Q182&amp;"|","|1-5 min|5-15 min|15-60 min|9:30-11:00|11:00-16:00|Not by 16:00|")&lt;FIND("|"&amp;R182&amp;"|","|1-5 min|5-15 min|15-60 min|9:30-11:00|11:00-16:00|Not by 16:00|"),IF(E182="Up","High first (main side)",IF(E182="Down","High first (wick side)","High first")),IF(E182="Down","Low first (main side)",IF(E182="Up","Low first (wick side)","Low first"))))),"Check entries"))</f>
        <v/>
      </c>
      <c r="X182" s="28" t="n"/>
      <c r="Y182" s="27" t="n"/>
      <c r="Z182" s="27" t="n"/>
      <c r="AA182" s="27" t="n"/>
      <c r="AB182" s="27" t="n"/>
      <c r="AC182" s="27" t="n"/>
      <c r="AD182" s="27" t="n"/>
      <c r="AE182" s="28" t="n"/>
      <c r="AF182" s="30" t="n"/>
      <c r="AG182" s="27" t="n"/>
    </row>
    <row r="183">
      <c r="A183" s="25" t="n"/>
      <c r="B183" s="26">
        <f>IF(ISNUMBER(A183),TEXT(A183,"ddd"),"")</f>
        <v/>
      </c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8" t="n"/>
      <c r="M183" s="26">
        <f>IF(OR(L183="",AND(E183&lt;&gt;"Up",E183&lt;&gt;"Down")),"",IF(OR(L183="In line",L183="Mixed"),"Neutral data",IF(OR(AND(L183="Hotter",E183="Down"),AND(L183="Cooler",E183="Up")),"With data","Against data")))</f>
        <v/>
      </c>
      <c r="N183" s="28" t="n"/>
      <c r="O183" s="27" t="n"/>
      <c r="P183" s="27" t="n"/>
      <c r="Q183" s="28" t="n"/>
      <c r="R183" s="27" t="n"/>
      <c r="S183" s="29" t="n"/>
      <c r="T183" s="27" t="n"/>
      <c r="U183" s="27" t="n"/>
      <c r="V183" s="26">
        <f>IF(OR(AND(E183&lt;&gt;"Up",E183&lt;&gt;"Down"),NOT(ISNUMBER(S183)),IF(E183="Up",Q183,R183)=""),"",IF(S183&gt;=100,"Back to open",IF(OR(IF(E183="Up",Q183,R183)="1-5 min",IF(E183="Up",Q183,R183)="5-15 min"),"Continued",IF(S183&gt;=50,"Partial retrace","Stalled / chop"))))</f>
        <v/>
      </c>
      <c r="W183" s="26">
        <f>IF(OR(Q183="",R183=""),"",IFERROR(IF(AND(Q183="Not by 16:00",R183="Not by 16:00"),"Neither taken",IF(FIND("|"&amp;Q183&amp;"|","|1-5 min|5-15 min|15-60 min|9:30-11:00|11:00-16:00|Not by 16:00|")=FIND("|"&amp;R183&amp;"|","|1-5 min|5-15 min|15-60 min|9:30-11:00|11:00-16:00|Not by 16:00|"),"Same window",IF(FIND("|"&amp;Q183&amp;"|","|1-5 min|5-15 min|15-60 min|9:30-11:00|11:00-16:00|Not by 16:00|")&lt;FIND("|"&amp;R183&amp;"|","|1-5 min|5-15 min|15-60 min|9:30-11:00|11:00-16:00|Not by 16:00|"),IF(E183="Up","High first (main side)",IF(E183="Down","High first (wick side)","High first")),IF(E183="Down","Low first (main side)",IF(E183="Up","Low first (wick side)","Low first"))))),"Check entries"))</f>
        <v/>
      </c>
      <c r="X183" s="28" t="n"/>
      <c r="Y183" s="27" t="n"/>
      <c r="Z183" s="27" t="n"/>
      <c r="AA183" s="27" t="n"/>
      <c r="AB183" s="27" t="n"/>
      <c r="AC183" s="27" t="n"/>
      <c r="AD183" s="27" t="n"/>
      <c r="AE183" s="28" t="n"/>
      <c r="AF183" s="30" t="n"/>
      <c r="AG183" s="27" t="n"/>
    </row>
    <row r="184">
      <c r="A184" s="25" t="n"/>
      <c r="B184" s="26">
        <f>IF(ISNUMBER(A184),TEXT(A184,"ddd"),"")</f>
        <v/>
      </c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8" t="n"/>
      <c r="M184" s="26">
        <f>IF(OR(L184="",AND(E184&lt;&gt;"Up",E184&lt;&gt;"Down")),"",IF(OR(L184="In line",L184="Mixed"),"Neutral data",IF(OR(AND(L184="Hotter",E184="Down"),AND(L184="Cooler",E184="Up")),"With data","Against data")))</f>
        <v/>
      </c>
      <c r="N184" s="28" t="n"/>
      <c r="O184" s="27" t="n"/>
      <c r="P184" s="27" t="n"/>
      <c r="Q184" s="28" t="n"/>
      <c r="R184" s="27" t="n"/>
      <c r="S184" s="29" t="n"/>
      <c r="T184" s="27" t="n"/>
      <c r="U184" s="27" t="n"/>
      <c r="V184" s="26">
        <f>IF(OR(AND(E184&lt;&gt;"Up",E184&lt;&gt;"Down"),NOT(ISNUMBER(S184)),IF(E184="Up",Q184,R184)=""),"",IF(S184&gt;=100,"Back to open",IF(OR(IF(E184="Up",Q184,R184)="1-5 min",IF(E184="Up",Q184,R184)="5-15 min"),"Continued",IF(S184&gt;=50,"Partial retrace","Stalled / chop"))))</f>
        <v/>
      </c>
      <c r="W184" s="26">
        <f>IF(OR(Q184="",R184=""),"",IFERROR(IF(AND(Q184="Not by 16:00",R184="Not by 16:00"),"Neither taken",IF(FIND("|"&amp;Q184&amp;"|","|1-5 min|5-15 min|15-60 min|9:30-11:00|11:00-16:00|Not by 16:00|")=FIND("|"&amp;R184&amp;"|","|1-5 min|5-15 min|15-60 min|9:30-11:00|11:00-16:00|Not by 16:00|"),"Same window",IF(FIND("|"&amp;Q184&amp;"|","|1-5 min|5-15 min|15-60 min|9:30-11:00|11:00-16:00|Not by 16:00|")&lt;FIND("|"&amp;R184&amp;"|","|1-5 min|5-15 min|15-60 min|9:30-11:00|11:00-16:00|Not by 16:00|"),IF(E184="Up","High first (main side)",IF(E184="Down","High first (wick side)","High first")),IF(E184="Down","Low first (main side)",IF(E184="Up","Low first (wick side)","Low first"))))),"Check entries"))</f>
        <v/>
      </c>
      <c r="X184" s="28" t="n"/>
      <c r="Y184" s="27" t="n"/>
      <c r="Z184" s="27" t="n"/>
      <c r="AA184" s="27" t="n"/>
      <c r="AB184" s="27" t="n"/>
      <c r="AC184" s="27" t="n"/>
      <c r="AD184" s="27" t="n"/>
      <c r="AE184" s="28" t="n"/>
      <c r="AF184" s="30" t="n"/>
      <c r="AG184" s="27" t="n"/>
    </row>
    <row r="185">
      <c r="A185" s="25" t="n"/>
      <c r="B185" s="26">
        <f>IF(ISNUMBER(A185),TEXT(A185,"ddd"),"")</f>
        <v/>
      </c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8" t="n"/>
      <c r="M185" s="26">
        <f>IF(OR(L185="",AND(E185&lt;&gt;"Up",E185&lt;&gt;"Down")),"",IF(OR(L185="In line",L185="Mixed"),"Neutral data",IF(OR(AND(L185="Hotter",E185="Down"),AND(L185="Cooler",E185="Up")),"With data","Against data")))</f>
        <v/>
      </c>
      <c r="N185" s="28" t="n"/>
      <c r="O185" s="27" t="n"/>
      <c r="P185" s="27" t="n"/>
      <c r="Q185" s="28" t="n"/>
      <c r="R185" s="27" t="n"/>
      <c r="S185" s="29" t="n"/>
      <c r="T185" s="27" t="n"/>
      <c r="U185" s="27" t="n"/>
      <c r="V185" s="26">
        <f>IF(OR(AND(E185&lt;&gt;"Up",E185&lt;&gt;"Down"),NOT(ISNUMBER(S185)),IF(E185="Up",Q185,R185)=""),"",IF(S185&gt;=100,"Back to open",IF(OR(IF(E185="Up",Q185,R185)="1-5 min",IF(E185="Up",Q185,R185)="5-15 min"),"Continued",IF(S185&gt;=50,"Partial retrace","Stalled / chop"))))</f>
        <v/>
      </c>
      <c r="W185" s="26">
        <f>IF(OR(Q185="",R185=""),"",IFERROR(IF(AND(Q185="Not by 16:00",R185="Not by 16:00"),"Neither taken",IF(FIND("|"&amp;Q185&amp;"|","|1-5 min|5-15 min|15-60 min|9:30-11:00|11:00-16:00|Not by 16:00|")=FIND("|"&amp;R185&amp;"|","|1-5 min|5-15 min|15-60 min|9:30-11:00|11:00-16:00|Not by 16:00|"),"Same window",IF(FIND("|"&amp;Q185&amp;"|","|1-5 min|5-15 min|15-60 min|9:30-11:00|11:00-16:00|Not by 16:00|")&lt;FIND("|"&amp;R185&amp;"|","|1-5 min|5-15 min|15-60 min|9:30-11:00|11:00-16:00|Not by 16:00|"),IF(E185="Up","High first (main side)",IF(E185="Down","High first (wick side)","High first")),IF(E185="Down","Low first (main side)",IF(E185="Up","Low first (wick side)","Low first"))))),"Check entries"))</f>
        <v/>
      </c>
      <c r="X185" s="28" t="n"/>
      <c r="Y185" s="27" t="n"/>
      <c r="Z185" s="27" t="n"/>
      <c r="AA185" s="27" t="n"/>
      <c r="AB185" s="27" t="n"/>
      <c r="AC185" s="27" t="n"/>
      <c r="AD185" s="27" t="n"/>
      <c r="AE185" s="28" t="n"/>
      <c r="AF185" s="30" t="n"/>
      <c r="AG185" s="27" t="n"/>
    </row>
    <row r="186">
      <c r="A186" s="25" t="n"/>
      <c r="B186" s="26">
        <f>IF(ISNUMBER(A186),TEXT(A186,"ddd"),"")</f>
        <v/>
      </c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8" t="n"/>
      <c r="M186" s="26">
        <f>IF(OR(L186="",AND(E186&lt;&gt;"Up",E186&lt;&gt;"Down")),"",IF(OR(L186="In line",L186="Mixed"),"Neutral data",IF(OR(AND(L186="Hotter",E186="Down"),AND(L186="Cooler",E186="Up")),"With data","Against data")))</f>
        <v/>
      </c>
      <c r="N186" s="28" t="n"/>
      <c r="O186" s="27" t="n"/>
      <c r="P186" s="27" t="n"/>
      <c r="Q186" s="28" t="n"/>
      <c r="R186" s="27" t="n"/>
      <c r="S186" s="29" t="n"/>
      <c r="T186" s="27" t="n"/>
      <c r="U186" s="27" t="n"/>
      <c r="V186" s="26">
        <f>IF(OR(AND(E186&lt;&gt;"Up",E186&lt;&gt;"Down"),NOT(ISNUMBER(S186)),IF(E186="Up",Q186,R186)=""),"",IF(S186&gt;=100,"Back to open",IF(OR(IF(E186="Up",Q186,R186)="1-5 min",IF(E186="Up",Q186,R186)="5-15 min"),"Continued",IF(S186&gt;=50,"Partial retrace","Stalled / chop"))))</f>
        <v/>
      </c>
      <c r="W186" s="26">
        <f>IF(OR(Q186="",R186=""),"",IFERROR(IF(AND(Q186="Not by 16:00",R186="Not by 16:00"),"Neither taken",IF(FIND("|"&amp;Q186&amp;"|","|1-5 min|5-15 min|15-60 min|9:30-11:00|11:00-16:00|Not by 16:00|")=FIND("|"&amp;R186&amp;"|","|1-5 min|5-15 min|15-60 min|9:30-11:00|11:00-16:00|Not by 16:00|"),"Same window",IF(FIND("|"&amp;Q186&amp;"|","|1-5 min|5-15 min|15-60 min|9:30-11:00|11:00-16:00|Not by 16:00|")&lt;FIND("|"&amp;R186&amp;"|","|1-5 min|5-15 min|15-60 min|9:30-11:00|11:00-16:00|Not by 16:00|"),IF(E186="Up","High first (main side)",IF(E186="Down","High first (wick side)","High first")),IF(E186="Down","Low first (main side)",IF(E186="Up","Low first (wick side)","Low first"))))),"Check entries"))</f>
        <v/>
      </c>
      <c r="X186" s="28" t="n"/>
      <c r="Y186" s="27" t="n"/>
      <c r="Z186" s="27" t="n"/>
      <c r="AA186" s="27" t="n"/>
      <c r="AB186" s="27" t="n"/>
      <c r="AC186" s="27" t="n"/>
      <c r="AD186" s="27" t="n"/>
      <c r="AE186" s="28" t="n"/>
      <c r="AF186" s="30" t="n"/>
      <c r="AG186" s="27" t="n"/>
    </row>
    <row r="187">
      <c r="A187" s="25" t="n"/>
      <c r="B187" s="26">
        <f>IF(ISNUMBER(A187),TEXT(A187,"ddd"),"")</f>
        <v/>
      </c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8" t="n"/>
      <c r="M187" s="26">
        <f>IF(OR(L187="",AND(E187&lt;&gt;"Up",E187&lt;&gt;"Down")),"",IF(OR(L187="In line",L187="Mixed"),"Neutral data",IF(OR(AND(L187="Hotter",E187="Down"),AND(L187="Cooler",E187="Up")),"With data","Against data")))</f>
        <v/>
      </c>
      <c r="N187" s="28" t="n"/>
      <c r="O187" s="27" t="n"/>
      <c r="P187" s="27" t="n"/>
      <c r="Q187" s="28" t="n"/>
      <c r="R187" s="27" t="n"/>
      <c r="S187" s="29" t="n"/>
      <c r="T187" s="27" t="n"/>
      <c r="U187" s="27" t="n"/>
      <c r="V187" s="26">
        <f>IF(OR(AND(E187&lt;&gt;"Up",E187&lt;&gt;"Down"),NOT(ISNUMBER(S187)),IF(E187="Up",Q187,R187)=""),"",IF(S187&gt;=100,"Back to open",IF(OR(IF(E187="Up",Q187,R187)="1-5 min",IF(E187="Up",Q187,R187)="5-15 min"),"Continued",IF(S187&gt;=50,"Partial retrace","Stalled / chop"))))</f>
        <v/>
      </c>
      <c r="W187" s="26">
        <f>IF(OR(Q187="",R187=""),"",IFERROR(IF(AND(Q187="Not by 16:00",R187="Not by 16:00"),"Neither taken",IF(FIND("|"&amp;Q187&amp;"|","|1-5 min|5-15 min|15-60 min|9:30-11:00|11:00-16:00|Not by 16:00|")=FIND("|"&amp;R187&amp;"|","|1-5 min|5-15 min|15-60 min|9:30-11:00|11:00-16:00|Not by 16:00|"),"Same window",IF(FIND("|"&amp;Q187&amp;"|","|1-5 min|5-15 min|15-60 min|9:30-11:00|11:00-16:00|Not by 16:00|")&lt;FIND("|"&amp;R187&amp;"|","|1-5 min|5-15 min|15-60 min|9:30-11:00|11:00-16:00|Not by 16:00|"),IF(E187="Up","High first (main side)",IF(E187="Down","High first (wick side)","High first")),IF(E187="Down","Low first (main side)",IF(E187="Up","Low first (wick side)","Low first"))))),"Check entries"))</f>
        <v/>
      </c>
      <c r="X187" s="28" t="n"/>
      <c r="Y187" s="27" t="n"/>
      <c r="Z187" s="27" t="n"/>
      <c r="AA187" s="27" t="n"/>
      <c r="AB187" s="27" t="n"/>
      <c r="AC187" s="27" t="n"/>
      <c r="AD187" s="27" t="n"/>
      <c r="AE187" s="28" t="n"/>
      <c r="AF187" s="30" t="n"/>
      <c r="AG187" s="27" t="n"/>
    </row>
    <row r="188">
      <c r="A188" s="25" t="n"/>
      <c r="B188" s="26">
        <f>IF(ISNUMBER(A188),TEXT(A188,"ddd"),"")</f>
        <v/>
      </c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8" t="n"/>
      <c r="M188" s="26">
        <f>IF(OR(L188="",AND(E188&lt;&gt;"Up",E188&lt;&gt;"Down")),"",IF(OR(L188="In line",L188="Mixed"),"Neutral data",IF(OR(AND(L188="Hotter",E188="Down"),AND(L188="Cooler",E188="Up")),"With data","Against data")))</f>
        <v/>
      </c>
      <c r="N188" s="28" t="n"/>
      <c r="O188" s="27" t="n"/>
      <c r="P188" s="27" t="n"/>
      <c r="Q188" s="28" t="n"/>
      <c r="R188" s="27" t="n"/>
      <c r="S188" s="29" t="n"/>
      <c r="T188" s="27" t="n"/>
      <c r="U188" s="27" t="n"/>
      <c r="V188" s="26">
        <f>IF(OR(AND(E188&lt;&gt;"Up",E188&lt;&gt;"Down"),NOT(ISNUMBER(S188)),IF(E188="Up",Q188,R188)=""),"",IF(S188&gt;=100,"Back to open",IF(OR(IF(E188="Up",Q188,R188)="1-5 min",IF(E188="Up",Q188,R188)="5-15 min"),"Continued",IF(S188&gt;=50,"Partial retrace","Stalled / chop"))))</f>
        <v/>
      </c>
      <c r="W188" s="26">
        <f>IF(OR(Q188="",R188=""),"",IFERROR(IF(AND(Q188="Not by 16:00",R188="Not by 16:00"),"Neither taken",IF(FIND("|"&amp;Q188&amp;"|","|1-5 min|5-15 min|15-60 min|9:30-11:00|11:00-16:00|Not by 16:00|")=FIND("|"&amp;R188&amp;"|","|1-5 min|5-15 min|15-60 min|9:30-11:00|11:00-16:00|Not by 16:00|"),"Same window",IF(FIND("|"&amp;Q188&amp;"|","|1-5 min|5-15 min|15-60 min|9:30-11:00|11:00-16:00|Not by 16:00|")&lt;FIND("|"&amp;R188&amp;"|","|1-5 min|5-15 min|15-60 min|9:30-11:00|11:00-16:00|Not by 16:00|"),IF(E188="Up","High first (main side)",IF(E188="Down","High first (wick side)","High first")),IF(E188="Down","Low first (main side)",IF(E188="Up","Low first (wick side)","Low first"))))),"Check entries"))</f>
        <v/>
      </c>
      <c r="X188" s="28" t="n"/>
      <c r="Y188" s="27" t="n"/>
      <c r="Z188" s="27" t="n"/>
      <c r="AA188" s="27" t="n"/>
      <c r="AB188" s="27" t="n"/>
      <c r="AC188" s="27" t="n"/>
      <c r="AD188" s="27" t="n"/>
      <c r="AE188" s="28" t="n"/>
      <c r="AF188" s="30" t="n"/>
      <c r="AG188" s="27" t="n"/>
    </row>
    <row r="189">
      <c r="A189" s="25" t="n"/>
      <c r="B189" s="26">
        <f>IF(ISNUMBER(A189),TEXT(A189,"ddd"),"")</f>
        <v/>
      </c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8" t="n"/>
      <c r="M189" s="26">
        <f>IF(OR(L189="",AND(E189&lt;&gt;"Up",E189&lt;&gt;"Down")),"",IF(OR(L189="In line",L189="Mixed"),"Neutral data",IF(OR(AND(L189="Hotter",E189="Down"),AND(L189="Cooler",E189="Up")),"With data","Against data")))</f>
        <v/>
      </c>
      <c r="N189" s="28" t="n"/>
      <c r="O189" s="27" t="n"/>
      <c r="P189" s="27" t="n"/>
      <c r="Q189" s="28" t="n"/>
      <c r="R189" s="27" t="n"/>
      <c r="S189" s="29" t="n"/>
      <c r="T189" s="27" t="n"/>
      <c r="U189" s="27" t="n"/>
      <c r="V189" s="26">
        <f>IF(OR(AND(E189&lt;&gt;"Up",E189&lt;&gt;"Down"),NOT(ISNUMBER(S189)),IF(E189="Up",Q189,R189)=""),"",IF(S189&gt;=100,"Back to open",IF(OR(IF(E189="Up",Q189,R189)="1-5 min",IF(E189="Up",Q189,R189)="5-15 min"),"Continued",IF(S189&gt;=50,"Partial retrace","Stalled / chop"))))</f>
        <v/>
      </c>
      <c r="W189" s="26">
        <f>IF(OR(Q189="",R189=""),"",IFERROR(IF(AND(Q189="Not by 16:00",R189="Not by 16:00"),"Neither taken",IF(FIND("|"&amp;Q189&amp;"|","|1-5 min|5-15 min|15-60 min|9:30-11:00|11:00-16:00|Not by 16:00|")=FIND("|"&amp;R189&amp;"|","|1-5 min|5-15 min|15-60 min|9:30-11:00|11:00-16:00|Not by 16:00|"),"Same window",IF(FIND("|"&amp;Q189&amp;"|","|1-5 min|5-15 min|15-60 min|9:30-11:00|11:00-16:00|Not by 16:00|")&lt;FIND("|"&amp;R189&amp;"|","|1-5 min|5-15 min|15-60 min|9:30-11:00|11:00-16:00|Not by 16:00|"),IF(E189="Up","High first (main side)",IF(E189="Down","High first (wick side)","High first")),IF(E189="Down","Low first (main side)",IF(E189="Up","Low first (wick side)","Low first"))))),"Check entries"))</f>
        <v/>
      </c>
      <c r="X189" s="28" t="n"/>
      <c r="Y189" s="27" t="n"/>
      <c r="Z189" s="27" t="n"/>
      <c r="AA189" s="27" t="n"/>
      <c r="AB189" s="27" t="n"/>
      <c r="AC189" s="27" t="n"/>
      <c r="AD189" s="27" t="n"/>
      <c r="AE189" s="28" t="n"/>
      <c r="AF189" s="30" t="n"/>
      <c r="AG189" s="27" t="n"/>
    </row>
    <row r="190">
      <c r="A190" s="25" t="n"/>
      <c r="B190" s="26">
        <f>IF(ISNUMBER(A190),TEXT(A190,"ddd"),"")</f>
        <v/>
      </c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8" t="n"/>
      <c r="M190" s="26">
        <f>IF(OR(L190="",AND(E190&lt;&gt;"Up",E190&lt;&gt;"Down")),"",IF(OR(L190="In line",L190="Mixed"),"Neutral data",IF(OR(AND(L190="Hotter",E190="Down"),AND(L190="Cooler",E190="Up")),"With data","Against data")))</f>
        <v/>
      </c>
      <c r="N190" s="28" t="n"/>
      <c r="O190" s="27" t="n"/>
      <c r="P190" s="27" t="n"/>
      <c r="Q190" s="28" t="n"/>
      <c r="R190" s="27" t="n"/>
      <c r="S190" s="29" t="n"/>
      <c r="T190" s="27" t="n"/>
      <c r="U190" s="27" t="n"/>
      <c r="V190" s="26">
        <f>IF(OR(AND(E190&lt;&gt;"Up",E190&lt;&gt;"Down"),NOT(ISNUMBER(S190)),IF(E190="Up",Q190,R190)=""),"",IF(S190&gt;=100,"Back to open",IF(OR(IF(E190="Up",Q190,R190)="1-5 min",IF(E190="Up",Q190,R190)="5-15 min"),"Continued",IF(S190&gt;=50,"Partial retrace","Stalled / chop"))))</f>
        <v/>
      </c>
      <c r="W190" s="26">
        <f>IF(OR(Q190="",R190=""),"",IFERROR(IF(AND(Q190="Not by 16:00",R190="Not by 16:00"),"Neither taken",IF(FIND("|"&amp;Q190&amp;"|","|1-5 min|5-15 min|15-60 min|9:30-11:00|11:00-16:00|Not by 16:00|")=FIND("|"&amp;R190&amp;"|","|1-5 min|5-15 min|15-60 min|9:30-11:00|11:00-16:00|Not by 16:00|"),"Same window",IF(FIND("|"&amp;Q190&amp;"|","|1-5 min|5-15 min|15-60 min|9:30-11:00|11:00-16:00|Not by 16:00|")&lt;FIND("|"&amp;R190&amp;"|","|1-5 min|5-15 min|15-60 min|9:30-11:00|11:00-16:00|Not by 16:00|"),IF(E190="Up","High first (main side)",IF(E190="Down","High first (wick side)","High first")),IF(E190="Down","Low first (main side)",IF(E190="Up","Low first (wick side)","Low first"))))),"Check entries"))</f>
        <v/>
      </c>
      <c r="X190" s="28" t="n"/>
      <c r="Y190" s="27" t="n"/>
      <c r="Z190" s="27" t="n"/>
      <c r="AA190" s="27" t="n"/>
      <c r="AB190" s="27" t="n"/>
      <c r="AC190" s="27" t="n"/>
      <c r="AD190" s="27" t="n"/>
      <c r="AE190" s="28" t="n"/>
      <c r="AF190" s="30" t="n"/>
      <c r="AG190" s="27" t="n"/>
    </row>
    <row r="191">
      <c r="A191" s="25" t="n"/>
      <c r="B191" s="26">
        <f>IF(ISNUMBER(A191),TEXT(A191,"ddd"),"")</f>
        <v/>
      </c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8" t="n"/>
      <c r="M191" s="26">
        <f>IF(OR(L191="",AND(E191&lt;&gt;"Up",E191&lt;&gt;"Down")),"",IF(OR(L191="In line",L191="Mixed"),"Neutral data",IF(OR(AND(L191="Hotter",E191="Down"),AND(L191="Cooler",E191="Up")),"With data","Against data")))</f>
        <v/>
      </c>
      <c r="N191" s="28" t="n"/>
      <c r="O191" s="27" t="n"/>
      <c r="P191" s="27" t="n"/>
      <c r="Q191" s="28" t="n"/>
      <c r="R191" s="27" t="n"/>
      <c r="S191" s="29" t="n"/>
      <c r="T191" s="27" t="n"/>
      <c r="U191" s="27" t="n"/>
      <c r="V191" s="26">
        <f>IF(OR(AND(E191&lt;&gt;"Up",E191&lt;&gt;"Down"),NOT(ISNUMBER(S191)),IF(E191="Up",Q191,R191)=""),"",IF(S191&gt;=100,"Back to open",IF(OR(IF(E191="Up",Q191,R191)="1-5 min",IF(E191="Up",Q191,R191)="5-15 min"),"Continued",IF(S191&gt;=50,"Partial retrace","Stalled / chop"))))</f>
        <v/>
      </c>
      <c r="W191" s="26">
        <f>IF(OR(Q191="",R191=""),"",IFERROR(IF(AND(Q191="Not by 16:00",R191="Not by 16:00"),"Neither taken",IF(FIND("|"&amp;Q191&amp;"|","|1-5 min|5-15 min|15-60 min|9:30-11:00|11:00-16:00|Not by 16:00|")=FIND("|"&amp;R191&amp;"|","|1-5 min|5-15 min|15-60 min|9:30-11:00|11:00-16:00|Not by 16:00|"),"Same window",IF(FIND("|"&amp;Q191&amp;"|","|1-5 min|5-15 min|15-60 min|9:30-11:00|11:00-16:00|Not by 16:00|")&lt;FIND("|"&amp;R191&amp;"|","|1-5 min|5-15 min|15-60 min|9:30-11:00|11:00-16:00|Not by 16:00|"),IF(E191="Up","High first (main side)",IF(E191="Down","High first (wick side)","High first")),IF(E191="Down","Low first (main side)",IF(E191="Up","Low first (wick side)","Low first"))))),"Check entries"))</f>
        <v/>
      </c>
      <c r="X191" s="28" t="n"/>
      <c r="Y191" s="27" t="n"/>
      <c r="Z191" s="27" t="n"/>
      <c r="AA191" s="27" t="n"/>
      <c r="AB191" s="27" t="n"/>
      <c r="AC191" s="27" t="n"/>
      <c r="AD191" s="27" t="n"/>
      <c r="AE191" s="28" t="n"/>
      <c r="AF191" s="30" t="n"/>
      <c r="AG191" s="27" t="n"/>
    </row>
    <row r="192">
      <c r="A192" s="25" t="n"/>
      <c r="B192" s="26">
        <f>IF(ISNUMBER(A192),TEXT(A192,"ddd"),"")</f>
        <v/>
      </c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8" t="n"/>
      <c r="M192" s="26">
        <f>IF(OR(L192="",AND(E192&lt;&gt;"Up",E192&lt;&gt;"Down")),"",IF(OR(L192="In line",L192="Mixed"),"Neutral data",IF(OR(AND(L192="Hotter",E192="Down"),AND(L192="Cooler",E192="Up")),"With data","Against data")))</f>
        <v/>
      </c>
      <c r="N192" s="28" t="n"/>
      <c r="O192" s="27" t="n"/>
      <c r="P192" s="27" t="n"/>
      <c r="Q192" s="28" t="n"/>
      <c r="R192" s="27" t="n"/>
      <c r="S192" s="29" t="n"/>
      <c r="T192" s="27" t="n"/>
      <c r="U192" s="27" t="n"/>
      <c r="V192" s="26">
        <f>IF(OR(AND(E192&lt;&gt;"Up",E192&lt;&gt;"Down"),NOT(ISNUMBER(S192)),IF(E192="Up",Q192,R192)=""),"",IF(S192&gt;=100,"Back to open",IF(OR(IF(E192="Up",Q192,R192)="1-5 min",IF(E192="Up",Q192,R192)="5-15 min"),"Continued",IF(S192&gt;=50,"Partial retrace","Stalled / chop"))))</f>
        <v/>
      </c>
      <c r="W192" s="26">
        <f>IF(OR(Q192="",R192=""),"",IFERROR(IF(AND(Q192="Not by 16:00",R192="Not by 16:00"),"Neither taken",IF(FIND("|"&amp;Q192&amp;"|","|1-5 min|5-15 min|15-60 min|9:30-11:00|11:00-16:00|Not by 16:00|")=FIND("|"&amp;R192&amp;"|","|1-5 min|5-15 min|15-60 min|9:30-11:00|11:00-16:00|Not by 16:00|"),"Same window",IF(FIND("|"&amp;Q192&amp;"|","|1-5 min|5-15 min|15-60 min|9:30-11:00|11:00-16:00|Not by 16:00|")&lt;FIND("|"&amp;R192&amp;"|","|1-5 min|5-15 min|15-60 min|9:30-11:00|11:00-16:00|Not by 16:00|"),IF(E192="Up","High first (main side)",IF(E192="Down","High first (wick side)","High first")),IF(E192="Down","Low first (main side)",IF(E192="Up","Low first (wick side)","Low first"))))),"Check entries"))</f>
        <v/>
      </c>
      <c r="X192" s="28" t="n"/>
      <c r="Y192" s="27" t="n"/>
      <c r="Z192" s="27" t="n"/>
      <c r="AA192" s="27" t="n"/>
      <c r="AB192" s="27" t="n"/>
      <c r="AC192" s="27" t="n"/>
      <c r="AD192" s="27" t="n"/>
      <c r="AE192" s="28" t="n"/>
      <c r="AF192" s="30" t="n"/>
      <c r="AG192" s="27" t="n"/>
    </row>
    <row r="193">
      <c r="A193" s="25" t="n"/>
      <c r="B193" s="26">
        <f>IF(ISNUMBER(A193),TEXT(A193,"ddd"),"")</f>
        <v/>
      </c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8" t="n"/>
      <c r="M193" s="26">
        <f>IF(OR(L193="",AND(E193&lt;&gt;"Up",E193&lt;&gt;"Down")),"",IF(OR(L193="In line",L193="Mixed"),"Neutral data",IF(OR(AND(L193="Hotter",E193="Down"),AND(L193="Cooler",E193="Up")),"With data","Against data")))</f>
        <v/>
      </c>
      <c r="N193" s="28" t="n"/>
      <c r="O193" s="27" t="n"/>
      <c r="P193" s="27" t="n"/>
      <c r="Q193" s="28" t="n"/>
      <c r="R193" s="27" t="n"/>
      <c r="S193" s="29" t="n"/>
      <c r="T193" s="27" t="n"/>
      <c r="U193" s="27" t="n"/>
      <c r="V193" s="26">
        <f>IF(OR(AND(E193&lt;&gt;"Up",E193&lt;&gt;"Down"),NOT(ISNUMBER(S193)),IF(E193="Up",Q193,R193)=""),"",IF(S193&gt;=100,"Back to open",IF(OR(IF(E193="Up",Q193,R193)="1-5 min",IF(E193="Up",Q193,R193)="5-15 min"),"Continued",IF(S193&gt;=50,"Partial retrace","Stalled / chop"))))</f>
        <v/>
      </c>
      <c r="W193" s="26">
        <f>IF(OR(Q193="",R193=""),"",IFERROR(IF(AND(Q193="Not by 16:00",R193="Not by 16:00"),"Neither taken",IF(FIND("|"&amp;Q193&amp;"|","|1-5 min|5-15 min|15-60 min|9:30-11:00|11:00-16:00|Not by 16:00|")=FIND("|"&amp;R193&amp;"|","|1-5 min|5-15 min|15-60 min|9:30-11:00|11:00-16:00|Not by 16:00|"),"Same window",IF(FIND("|"&amp;Q193&amp;"|","|1-5 min|5-15 min|15-60 min|9:30-11:00|11:00-16:00|Not by 16:00|")&lt;FIND("|"&amp;R193&amp;"|","|1-5 min|5-15 min|15-60 min|9:30-11:00|11:00-16:00|Not by 16:00|"),IF(E193="Up","High first (main side)",IF(E193="Down","High first (wick side)","High first")),IF(E193="Down","Low first (main side)",IF(E193="Up","Low first (wick side)","Low first"))))),"Check entries"))</f>
        <v/>
      </c>
      <c r="X193" s="28" t="n"/>
      <c r="Y193" s="27" t="n"/>
      <c r="Z193" s="27" t="n"/>
      <c r="AA193" s="27" t="n"/>
      <c r="AB193" s="27" t="n"/>
      <c r="AC193" s="27" t="n"/>
      <c r="AD193" s="27" t="n"/>
      <c r="AE193" s="28" t="n"/>
      <c r="AF193" s="30" t="n"/>
      <c r="AG193" s="27" t="n"/>
    </row>
    <row r="194">
      <c r="A194" s="25" t="n"/>
      <c r="B194" s="26">
        <f>IF(ISNUMBER(A194),TEXT(A194,"ddd"),"")</f>
        <v/>
      </c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8" t="n"/>
      <c r="M194" s="26">
        <f>IF(OR(L194="",AND(E194&lt;&gt;"Up",E194&lt;&gt;"Down")),"",IF(OR(L194="In line",L194="Mixed"),"Neutral data",IF(OR(AND(L194="Hotter",E194="Down"),AND(L194="Cooler",E194="Up")),"With data","Against data")))</f>
        <v/>
      </c>
      <c r="N194" s="28" t="n"/>
      <c r="O194" s="27" t="n"/>
      <c r="P194" s="27" t="n"/>
      <c r="Q194" s="28" t="n"/>
      <c r="R194" s="27" t="n"/>
      <c r="S194" s="29" t="n"/>
      <c r="T194" s="27" t="n"/>
      <c r="U194" s="27" t="n"/>
      <c r="V194" s="26">
        <f>IF(OR(AND(E194&lt;&gt;"Up",E194&lt;&gt;"Down"),NOT(ISNUMBER(S194)),IF(E194="Up",Q194,R194)=""),"",IF(S194&gt;=100,"Back to open",IF(OR(IF(E194="Up",Q194,R194)="1-5 min",IF(E194="Up",Q194,R194)="5-15 min"),"Continued",IF(S194&gt;=50,"Partial retrace","Stalled / chop"))))</f>
        <v/>
      </c>
      <c r="W194" s="26">
        <f>IF(OR(Q194="",R194=""),"",IFERROR(IF(AND(Q194="Not by 16:00",R194="Not by 16:00"),"Neither taken",IF(FIND("|"&amp;Q194&amp;"|","|1-5 min|5-15 min|15-60 min|9:30-11:00|11:00-16:00|Not by 16:00|")=FIND("|"&amp;R194&amp;"|","|1-5 min|5-15 min|15-60 min|9:30-11:00|11:00-16:00|Not by 16:00|"),"Same window",IF(FIND("|"&amp;Q194&amp;"|","|1-5 min|5-15 min|15-60 min|9:30-11:00|11:00-16:00|Not by 16:00|")&lt;FIND("|"&amp;R194&amp;"|","|1-5 min|5-15 min|15-60 min|9:30-11:00|11:00-16:00|Not by 16:00|"),IF(E194="Up","High first (main side)",IF(E194="Down","High first (wick side)","High first")),IF(E194="Down","Low first (main side)",IF(E194="Up","Low first (wick side)","Low first"))))),"Check entries"))</f>
        <v/>
      </c>
      <c r="X194" s="28" t="n"/>
      <c r="Y194" s="27" t="n"/>
      <c r="Z194" s="27" t="n"/>
      <c r="AA194" s="27" t="n"/>
      <c r="AB194" s="27" t="n"/>
      <c r="AC194" s="27" t="n"/>
      <c r="AD194" s="27" t="n"/>
      <c r="AE194" s="28" t="n"/>
      <c r="AF194" s="30" t="n"/>
      <c r="AG194" s="27" t="n"/>
    </row>
    <row r="195">
      <c r="A195" s="25" t="n"/>
      <c r="B195" s="26">
        <f>IF(ISNUMBER(A195),TEXT(A195,"ddd"),"")</f>
        <v/>
      </c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8" t="n"/>
      <c r="M195" s="26">
        <f>IF(OR(L195="",AND(E195&lt;&gt;"Up",E195&lt;&gt;"Down")),"",IF(OR(L195="In line",L195="Mixed"),"Neutral data",IF(OR(AND(L195="Hotter",E195="Down"),AND(L195="Cooler",E195="Up")),"With data","Against data")))</f>
        <v/>
      </c>
      <c r="N195" s="28" t="n"/>
      <c r="O195" s="27" t="n"/>
      <c r="P195" s="27" t="n"/>
      <c r="Q195" s="28" t="n"/>
      <c r="R195" s="27" t="n"/>
      <c r="S195" s="29" t="n"/>
      <c r="T195" s="27" t="n"/>
      <c r="U195" s="27" t="n"/>
      <c r="V195" s="26">
        <f>IF(OR(AND(E195&lt;&gt;"Up",E195&lt;&gt;"Down"),NOT(ISNUMBER(S195)),IF(E195="Up",Q195,R195)=""),"",IF(S195&gt;=100,"Back to open",IF(OR(IF(E195="Up",Q195,R195)="1-5 min",IF(E195="Up",Q195,R195)="5-15 min"),"Continued",IF(S195&gt;=50,"Partial retrace","Stalled / chop"))))</f>
        <v/>
      </c>
      <c r="W195" s="26">
        <f>IF(OR(Q195="",R195=""),"",IFERROR(IF(AND(Q195="Not by 16:00",R195="Not by 16:00"),"Neither taken",IF(FIND("|"&amp;Q195&amp;"|","|1-5 min|5-15 min|15-60 min|9:30-11:00|11:00-16:00|Not by 16:00|")=FIND("|"&amp;R195&amp;"|","|1-5 min|5-15 min|15-60 min|9:30-11:00|11:00-16:00|Not by 16:00|"),"Same window",IF(FIND("|"&amp;Q195&amp;"|","|1-5 min|5-15 min|15-60 min|9:30-11:00|11:00-16:00|Not by 16:00|")&lt;FIND("|"&amp;R195&amp;"|","|1-5 min|5-15 min|15-60 min|9:30-11:00|11:00-16:00|Not by 16:00|"),IF(E195="Up","High first (main side)",IF(E195="Down","High first (wick side)","High first")),IF(E195="Down","Low first (main side)",IF(E195="Up","Low first (wick side)","Low first"))))),"Check entries"))</f>
        <v/>
      </c>
      <c r="X195" s="28" t="n"/>
      <c r="Y195" s="27" t="n"/>
      <c r="Z195" s="27" t="n"/>
      <c r="AA195" s="27" t="n"/>
      <c r="AB195" s="27" t="n"/>
      <c r="AC195" s="27" t="n"/>
      <c r="AD195" s="27" t="n"/>
      <c r="AE195" s="28" t="n"/>
      <c r="AF195" s="30" t="n"/>
      <c r="AG195" s="27" t="n"/>
    </row>
    <row r="196">
      <c r="A196" s="25" t="n"/>
      <c r="B196" s="26">
        <f>IF(ISNUMBER(A196),TEXT(A196,"ddd"),"")</f>
        <v/>
      </c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8" t="n"/>
      <c r="M196" s="26">
        <f>IF(OR(L196="",AND(E196&lt;&gt;"Up",E196&lt;&gt;"Down")),"",IF(OR(L196="In line",L196="Mixed"),"Neutral data",IF(OR(AND(L196="Hotter",E196="Down"),AND(L196="Cooler",E196="Up")),"With data","Against data")))</f>
        <v/>
      </c>
      <c r="N196" s="28" t="n"/>
      <c r="O196" s="27" t="n"/>
      <c r="P196" s="27" t="n"/>
      <c r="Q196" s="28" t="n"/>
      <c r="R196" s="27" t="n"/>
      <c r="S196" s="29" t="n"/>
      <c r="T196" s="27" t="n"/>
      <c r="U196" s="27" t="n"/>
      <c r="V196" s="26">
        <f>IF(OR(AND(E196&lt;&gt;"Up",E196&lt;&gt;"Down"),NOT(ISNUMBER(S196)),IF(E196="Up",Q196,R196)=""),"",IF(S196&gt;=100,"Back to open",IF(OR(IF(E196="Up",Q196,R196)="1-5 min",IF(E196="Up",Q196,R196)="5-15 min"),"Continued",IF(S196&gt;=50,"Partial retrace","Stalled / chop"))))</f>
        <v/>
      </c>
      <c r="W196" s="26">
        <f>IF(OR(Q196="",R196=""),"",IFERROR(IF(AND(Q196="Not by 16:00",R196="Not by 16:00"),"Neither taken",IF(FIND("|"&amp;Q196&amp;"|","|1-5 min|5-15 min|15-60 min|9:30-11:00|11:00-16:00|Not by 16:00|")=FIND("|"&amp;R196&amp;"|","|1-5 min|5-15 min|15-60 min|9:30-11:00|11:00-16:00|Not by 16:00|"),"Same window",IF(FIND("|"&amp;Q196&amp;"|","|1-5 min|5-15 min|15-60 min|9:30-11:00|11:00-16:00|Not by 16:00|")&lt;FIND("|"&amp;R196&amp;"|","|1-5 min|5-15 min|15-60 min|9:30-11:00|11:00-16:00|Not by 16:00|"),IF(E196="Up","High first (main side)",IF(E196="Down","High first (wick side)","High first")),IF(E196="Down","Low first (main side)",IF(E196="Up","Low first (wick side)","Low first"))))),"Check entries"))</f>
        <v/>
      </c>
      <c r="X196" s="28" t="n"/>
      <c r="Y196" s="27" t="n"/>
      <c r="Z196" s="27" t="n"/>
      <c r="AA196" s="27" t="n"/>
      <c r="AB196" s="27" t="n"/>
      <c r="AC196" s="27" t="n"/>
      <c r="AD196" s="27" t="n"/>
      <c r="AE196" s="28" t="n"/>
      <c r="AF196" s="30" t="n"/>
      <c r="AG196" s="27" t="n"/>
    </row>
    <row r="197">
      <c r="A197" s="25" t="n"/>
      <c r="B197" s="26">
        <f>IF(ISNUMBER(A197),TEXT(A197,"ddd"),"")</f>
        <v/>
      </c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8" t="n"/>
      <c r="M197" s="26">
        <f>IF(OR(L197="",AND(E197&lt;&gt;"Up",E197&lt;&gt;"Down")),"",IF(OR(L197="In line",L197="Mixed"),"Neutral data",IF(OR(AND(L197="Hotter",E197="Down"),AND(L197="Cooler",E197="Up")),"With data","Against data")))</f>
        <v/>
      </c>
      <c r="N197" s="28" t="n"/>
      <c r="O197" s="27" t="n"/>
      <c r="P197" s="27" t="n"/>
      <c r="Q197" s="28" t="n"/>
      <c r="R197" s="27" t="n"/>
      <c r="S197" s="29" t="n"/>
      <c r="T197" s="27" t="n"/>
      <c r="U197" s="27" t="n"/>
      <c r="V197" s="26">
        <f>IF(OR(AND(E197&lt;&gt;"Up",E197&lt;&gt;"Down"),NOT(ISNUMBER(S197)),IF(E197="Up",Q197,R197)=""),"",IF(S197&gt;=100,"Back to open",IF(OR(IF(E197="Up",Q197,R197)="1-5 min",IF(E197="Up",Q197,R197)="5-15 min"),"Continued",IF(S197&gt;=50,"Partial retrace","Stalled / chop"))))</f>
        <v/>
      </c>
      <c r="W197" s="26">
        <f>IF(OR(Q197="",R197=""),"",IFERROR(IF(AND(Q197="Not by 16:00",R197="Not by 16:00"),"Neither taken",IF(FIND("|"&amp;Q197&amp;"|","|1-5 min|5-15 min|15-60 min|9:30-11:00|11:00-16:00|Not by 16:00|")=FIND("|"&amp;R197&amp;"|","|1-5 min|5-15 min|15-60 min|9:30-11:00|11:00-16:00|Not by 16:00|"),"Same window",IF(FIND("|"&amp;Q197&amp;"|","|1-5 min|5-15 min|15-60 min|9:30-11:00|11:00-16:00|Not by 16:00|")&lt;FIND("|"&amp;R197&amp;"|","|1-5 min|5-15 min|15-60 min|9:30-11:00|11:00-16:00|Not by 16:00|"),IF(E197="Up","High first (main side)",IF(E197="Down","High first (wick side)","High first")),IF(E197="Down","Low first (main side)",IF(E197="Up","Low first (wick side)","Low first"))))),"Check entries"))</f>
        <v/>
      </c>
      <c r="X197" s="28" t="n"/>
      <c r="Y197" s="27" t="n"/>
      <c r="Z197" s="27" t="n"/>
      <c r="AA197" s="27" t="n"/>
      <c r="AB197" s="27" t="n"/>
      <c r="AC197" s="27" t="n"/>
      <c r="AD197" s="27" t="n"/>
      <c r="AE197" s="28" t="n"/>
      <c r="AF197" s="30" t="n"/>
      <c r="AG197" s="27" t="n"/>
    </row>
    <row r="198">
      <c r="A198" s="25" t="n"/>
      <c r="B198" s="26">
        <f>IF(ISNUMBER(A198),TEXT(A198,"ddd"),"")</f>
        <v/>
      </c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8" t="n"/>
      <c r="M198" s="26">
        <f>IF(OR(L198="",AND(E198&lt;&gt;"Up",E198&lt;&gt;"Down")),"",IF(OR(L198="In line",L198="Mixed"),"Neutral data",IF(OR(AND(L198="Hotter",E198="Down"),AND(L198="Cooler",E198="Up")),"With data","Against data")))</f>
        <v/>
      </c>
      <c r="N198" s="28" t="n"/>
      <c r="O198" s="27" t="n"/>
      <c r="P198" s="27" t="n"/>
      <c r="Q198" s="28" t="n"/>
      <c r="R198" s="27" t="n"/>
      <c r="S198" s="29" t="n"/>
      <c r="T198" s="27" t="n"/>
      <c r="U198" s="27" t="n"/>
      <c r="V198" s="26">
        <f>IF(OR(AND(E198&lt;&gt;"Up",E198&lt;&gt;"Down"),NOT(ISNUMBER(S198)),IF(E198="Up",Q198,R198)=""),"",IF(S198&gt;=100,"Back to open",IF(OR(IF(E198="Up",Q198,R198)="1-5 min",IF(E198="Up",Q198,R198)="5-15 min"),"Continued",IF(S198&gt;=50,"Partial retrace","Stalled / chop"))))</f>
        <v/>
      </c>
      <c r="W198" s="26">
        <f>IF(OR(Q198="",R198=""),"",IFERROR(IF(AND(Q198="Not by 16:00",R198="Not by 16:00"),"Neither taken",IF(FIND("|"&amp;Q198&amp;"|","|1-5 min|5-15 min|15-60 min|9:30-11:00|11:00-16:00|Not by 16:00|")=FIND("|"&amp;R198&amp;"|","|1-5 min|5-15 min|15-60 min|9:30-11:00|11:00-16:00|Not by 16:00|"),"Same window",IF(FIND("|"&amp;Q198&amp;"|","|1-5 min|5-15 min|15-60 min|9:30-11:00|11:00-16:00|Not by 16:00|")&lt;FIND("|"&amp;R198&amp;"|","|1-5 min|5-15 min|15-60 min|9:30-11:00|11:00-16:00|Not by 16:00|"),IF(E198="Up","High first (main side)",IF(E198="Down","High first (wick side)","High first")),IF(E198="Down","Low first (main side)",IF(E198="Up","Low first (wick side)","Low first"))))),"Check entries"))</f>
        <v/>
      </c>
      <c r="X198" s="28" t="n"/>
      <c r="Y198" s="27" t="n"/>
      <c r="Z198" s="27" t="n"/>
      <c r="AA198" s="27" t="n"/>
      <c r="AB198" s="27" t="n"/>
      <c r="AC198" s="27" t="n"/>
      <c r="AD198" s="27" t="n"/>
      <c r="AE198" s="28" t="n"/>
      <c r="AF198" s="30" t="n"/>
      <c r="AG198" s="27" t="n"/>
    </row>
    <row r="199">
      <c r="A199" s="25" t="n"/>
      <c r="B199" s="26">
        <f>IF(ISNUMBER(A199),TEXT(A199,"ddd"),"")</f>
        <v/>
      </c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8" t="n"/>
      <c r="M199" s="26">
        <f>IF(OR(L199="",AND(E199&lt;&gt;"Up",E199&lt;&gt;"Down")),"",IF(OR(L199="In line",L199="Mixed"),"Neutral data",IF(OR(AND(L199="Hotter",E199="Down"),AND(L199="Cooler",E199="Up")),"With data","Against data")))</f>
        <v/>
      </c>
      <c r="N199" s="28" t="n"/>
      <c r="O199" s="27" t="n"/>
      <c r="P199" s="27" t="n"/>
      <c r="Q199" s="28" t="n"/>
      <c r="R199" s="27" t="n"/>
      <c r="S199" s="29" t="n"/>
      <c r="T199" s="27" t="n"/>
      <c r="U199" s="27" t="n"/>
      <c r="V199" s="26">
        <f>IF(OR(AND(E199&lt;&gt;"Up",E199&lt;&gt;"Down"),NOT(ISNUMBER(S199)),IF(E199="Up",Q199,R199)=""),"",IF(S199&gt;=100,"Back to open",IF(OR(IF(E199="Up",Q199,R199)="1-5 min",IF(E199="Up",Q199,R199)="5-15 min"),"Continued",IF(S199&gt;=50,"Partial retrace","Stalled / chop"))))</f>
        <v/>
      </c>
      <c r="W199" s="26">
        <f>IF(OR(Q199="",R199=""),"",IFERROR(IF(AND(Q199="Not by 16:00",R199="Not by 16:00"),"Neither taken",IF(FIND("|"&amp;Q199&amp;"|","|1-5 min|5-15 min|15-60 min|9:30-11:00|11:00-16:00|Not by 16:00|")=FIND("|"&amp;R199&amp;"|","|1-5 min|5-15 min|15-60 min|9:30-11:00|11:00-16:00|Not by 16:00|"),"Same window",IF(FIND("|"&amp;Q199&amp;"|","|1-5 min|5-15 min|15-60 min|9:30-11:00|11:00-16:00|Not by 16:00|")&lt;FIND("|"&amp;R199&amp;"|","|1-5 min|5-15 min|15-60 min|9:30-11:00|11:00-16:00|Not by 16:00|"),IF(E199="Up","High first (main side)",IF(E199="Down","High first (wick side)","High first")),IF(E199="Down","Low first (main side)",IF(E199="Up","Low first (wick side)","Low first"))))),"Check entries"))</f>
        <v/>
      </c>
      <c r="X199" s="28" t="n"/>
      <c r="Y199" s="27" t="n"/>
      <c r="Z199" s="27" t="n"/>
      <c r="AA199" s="27" t="n"/>
      <c r="AB199" s="27" t="n"/>
      <c r="AC199" s="27" t="n"/>
      <c r="AD199" s="27" t="n"/>
      <c r="AE199" s="28" t="n"/>
      <c r="AF199" s="30" t="n"/>
      <c r="AG199" s="27" t="n"/>
    </row>
    <row r="200">
      <c r="A200" s="25" t="n"/>
      <c r="B200" s="26">
        <f>IF(ISNUMBER(A200),TEXT(A200,"ddd"),"")</f>
        <v/>
      </c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8" t="n"/>
      <c r="M200" s="26">
        <f>IF(OR(L200="",AND(E200&lt;&gt;"Up",E200&lt;&gt;"Down")),"",IF(OR(L200="In line",L200="Mixed"),"Neutral data",IF(OR(AND(L200="Hotter",E200="Down"),AND(L200="Cooler",E200="Up")),"With data","Against data")))</f>
        <v/>
      </c>
      <c r="N200" s="28" t="n"/>
      <c r="O200" s="27" t="n"/>
      <c r="P200" s="27" t="n"/>
      <c r="Q200" s="28" t="n"/>
      <c r="R200" s="27" t="n"/>
      <c r="S200" s="29" t="n"/>
      <c r="T200" s="27" t="n"/>
      <c r="U200" s="27" t="n"/>
      <c r="V200" s="26">
        <f>IF(OR(AND(E200&lt;&gt;"Up",E200&lt;&gt;"Down"),NOT(ISNUMBER(S200)),IF(E200="Up",Q200,R200)=""),"",IF(S200&gt;=100,"Back to open",IF(OR(IF(E200="Up",Q200,R200)="1-5 min",IF(E200="Up",Q200,R200)="5-15 min"),"Continued",IF(S200&gt;=50,"Partial retrace","Stalled / chop"))))</f>
        <v/>
      </c>
      <c r="W200" s="26">
        <f>IF(OR(Q200="",R200=""),"",IFERROR(IF(AND(Q200="Not by 16:00",R200="Not by 16:00"),"Neither taken",IF(FIND("|"&amp;Q200&amp;"|","|1-5 min|5-15 min|15-60 min|9:30-11:00|11:00-16:00|Not by 16:00|")=FIND("|"&amp;R200&amp;"|","|1-5 min|5-15 min|15-60 min|9:30-11:00|11:00-16:00|Not by 16:00|"),"Same window",IF(FIND("|"&amp;Q200&amp;"|","|1-5 min|5-15 min|15-60 min|9:30-11:00|11:00-16:00|Not by 16:00|")&lt;FIND("|"&amp;R200&amp;"|","|1-5 min|5-15 min|15-60 min|9:30-11:00|11:00-16:00|Not by 16:00|"),IF(E200="Up","High first (main side)",IF(E200="Down","High first (wick side)","High first")),IF(E200="Down","Low first (main side)",IF(E200="Up","Low first (wick side)","Low first"))))),"Check entries"))</f>
        <v/>
      </c>
      <c r="X200" s="28" t="n"/>
      <c r="Y200" s="27" t="n"/>
      <c r="Z200" s="27" t="n"/>
      <c r="AA200" s="27" t="n"/>
      <c r="AB200" s="27" t="n"/>
      <c r="AC200" s="27" t="n"/>
      <c r="AD200" s="27" t="n"/>
      <c r="AE200" s="28" t="n"/>
      <c r="AF200" s="30" t="n"/>
      <c r="AG200" s="27" t="n"/>
    </row>
    <row r="201">
      <c r="A201" s="25" t="n"/>
      <c r="B201" s="26">
        <f>IF(ISNUMBER(A201),TEXT(A201,"ddd"),"")</f>
        <v/>
      </c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8" t="n"/>
      <c r="M201" s="26">
        <f>IF(OR(L201="",AND(E201&lt;&gt;"Up",E201&lt;&gt;"Down")),"",IF(OR(L201="In line",L201="Mixed"),"Neutral data",IF(OR(AND(L201="Hotter",E201="Down"),AND(L201="Cooler",E201="Up")),"With data","Against data")))</f>
        <v/>
      </c>
      <c r="N201" s="28" t="n"/>
      <c r="O201" s="27" t="n"/>
      <c r="P201" s="27" t="n"/>
      <c r="Q201" s="28" t="n"/>
      <c r="R201" s="27" t="n"/>
      <c r="S201" s="29" t="n"/>
      <c r="T201" s="27" t="n"/>
      <c r="U201" s="27" t="n"/>
      <c r="V201" s="26">
        <f>IF(OR(AND(E201&lt;&gt;"Up",E201&lt;&gt;"Down"),NOT(ISNUMBER(S201)),IF(E201="Up",Q201,R201)=""),"",IF(S201&gt;=100,"Back to open",IF(OR(IF(E201="Up",Q201,R201)="1-5 min",IF(E201="Up",Q201,R201)="5-15 min"),"Continued",IF(S201&gt;=50,"Partial retrace","Stalled / chop"))))</f>
        <v/>
      </c>
      <c r="W201" s="26">
        <f>IF(OR(Q201="",R201=""),"",IFERROR(IF(AND(Q201="Not by 16:00",R201="Not by 16:00"),"Neither taken",IF(FIND("|"&amp;Q201&amp;"|","|1-5 min|5-15 min|15-60 min|9:30-11:00|11:00-16:00|Not by 16:00|")=FIND("|"&amp;R201&amp;"|","|1-5 min|5-15 min|15-60 min|9:30-11:00|11:00-16:00|Not by 16:00|"),"Same window",IF(FIND("|"&amp;Q201&amp;"|","|1-5 min|5-15 min|15-60 min|9:30-11:00|11:00-16:00|Not by 16:00|")&lt;FIND("|"&amp;R201&amp;"|","|1-5 min|5-15 min|15-60 min|9:30-11:00|11:00-16:00|Not by 16:00|"),IF(E201="Up","High first (main side)",IF(E201="Down","High first (wick side)","High first")),IF(E201="Down","Low first (main side)",IF(E201="Up","Low first (wick side)","Low first"))))),"Check entries"))</f>
        <v/>
      </c>
      <c r="X201" s="28" t="n"/>
      <c r="Y201" s="27" t="n"/>
      <c r="Z201" s="27" t="n"/>
      <c r="AA201" s="27" t="n"/>
      <c r="AB201" s="27" t="n"/>
      <c r="AC201" s="27" t="n"/>
      <c r="AD201" s="27" t="n"/>
      <c r="AE201" s="28" t="n"/>
      <c r="AF201" s="30" t="n"/>
      <c r="AG201" s="27" t="n"/>
    </row>
    <row r="202">
      <c r="A202" s="25" t="n"/>
      <c r="B202" s="26">
        <f>IF(ISNUMBER(A202),TEXT(A202,"ddd"),"")</f>
        <v/>
      </c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8" t="n"/>
      <c r="M202" s="26">
        <f>IF(OR(L202="",AND(E202&lt;&gt;"Up",E202&lt;&gt;"Down")),"",IF(OR(L202="In line",L202="Mixed"),"Neutral data",IF(OR(AND(L202="Hotter",E202="Down"),AND(L202="Cooler",E202="Up")),"With data","Against data")))</f>
        <v/>
      </c>
      <c r="N202" s="28" t="n"/>
      <c r="O202" s="27" t="n"/>
      <c r="P202" s="27" t="n"/>
      <c r="Q202" s="28" t="n"/>
      <c r="R202" s="27" t="n"/>
      <c r="S202" s="29" t="n"/>
      <c r="T202" s="27" t="n"/>
      <c r="U202" s="27" t="n"/>
      <c r="V202" s="26">
        <f>IF(OR(AND(E202&lt;&gt;"Up",E202&lt;&gt;"Down"),NOT(ISNUMBER(S202)),IF(E202="Up",Q202,R202)=""),"",IF(S202&gt;=100,"Back to open",IF(OR(IF(E202="Up",Q202,R202)="1-5 min",IF(E202="Up",Q202,R202)="5-15 min"),"Continued",IF(S202&gt;=50,"Partial retrace","Stalled / chop"))))</f>
        <v/>
      </c>
      <c r="W202" s="26">
        <f>IF(OR(Q202="",R202=""),"",IFERROR(IF(AND(Q202="Not by 16:00",R202="Not by 16:00"),"Neither taken",IF(FIND("|"&amp;Q202&amp;"|","|1-5 min|5-15 min|15-60 min|9:30-11:00|11:00-16:00|Not by 16:00|")=FIND("|"&amp;R202&amp;"|","|1-5 min|5-15 min|15-60 min|9:30-11:00|11:00-16:00|Not by 16:00|"),"Same window",IF(FIND("|"&amp;Q202&amp;"|","|1-5 min|5-15 min|15-60 min|9:30-11:00|11:00-16:00|Not by 16:00|")&lt;FIND("|"&amp;R202&amp;"|","|1-5 min|5-15 min|15-60 min|9:30-11:00|11:00-16:00|Not by 16:00|"),IF(E202="Up","High first (main side)",IF(E202="Down","High first (wick side)","High first")),IF(E202="Down","Low first (main side)",IF(E202="Up","Low first (wick side)","Low first"))))),"Check entries"))</f>
        <v/>
      </c>
      <c r="X202" s="28" t="n"/>
      <c r="Y202" s="27" t="n"/>
      <c r="Z202" s="27" t="n"/>
      <c r="AA202" s="27" t="n"/>
      <c r="AB202" s="27" t="n"/>
      <c r="AC202" s="27" t="n"/>
      <c r="AD202" s="27" t="n"/>
      <c r="AE202" s="28" t="n"/>
      <c r="AF202" s="30" t="n"/>
      <c r="AG202" s="27" t="n"/>
    </row>
    <row r="203">
      <c r="A203" s="25" t="n"/>
      <c r="B203" s="26">
        <f>IF(ISNUMBER(A203),TEXT(A203,"ddd"),"")</f>
        <v/>
      </c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8" t="n"/>
      <c r="M203" s="26">
        <f>IF(OR(L203="",AND(E203&lt;&gt;"Up",E203&lt;&gt;"Down")),"",IF(OR(L203="In line",L203="Mixed"),"Neutral data",IF(OR(AND(L203="Hotter",E203="Down"),AND(L203="Cooler",E203="Up")),"With data","Against data")))</f>
        <v/>
      </c>
      <c r="N203" s="28" t="n"/>
      <c r="O203" s="27" t="n"/>
      <c r="P203" s="27" t="n"/>
      <c r="Q203" s="28" t="n"/>
      <c r="R203" s="27" t="n"/>
      <c r="S203" s="29" t="n"/>
      <c r="T203" s="27" t="n"/>
      <c r="U203" s="27" t="n"/>
      <c r="V203" s="26">
        <f>IF(OR(AND(E203&lt;&gt;"Up",E203&lt;&gt;"Down"),NOT(ISNUMBER(S203)),IF(E203="Up",Q203,R203)=""),"",IF(S203&gt;=100,"Back to open",IF(OR(IF(E203="Up",Q203,R203)="1-5 min",IF(E203="Up",Q203,R203)="5-15 min"),"Continued",IF(S203&gt;=50,"Partial retrace","Stalled / chop"))))</f>
        <v/>
      </c>
      <c r="W203" s="26">
        <f>IF(OR(Q203="",R203=""),"",IFERROR(IF(AND(Q203="Not by 16:00",R203="Not by 16:00"),"Neither taken",IF(FIND("|"&amp;Q203&amp;"|","|1-5 min|5-15 min|15-60 min|9:30-11:00|11:00-16:00|Not by 16:00|")=FIND("|"&amp;R203&amp;"|","|1-5 min|5-15 min|15-60 min|9:30-11:00|11:00-16:00|Not by 16:00|"),"Same window",IF(FIND("|"&amp;Q203&amp;"|","|1-5 min|5-15 min|15-60 min|9:30-11:00|11:00-16:00|Not by 16:00|")&lt;FIND("|"&amp;R203&amp;"|","|1-5 min|5-15 min|15-60 min|9:30-11:00|11:00-16:00|Not by 16:00|"),IF(E203="Up","High first (main side)",IF(E203="Down","High first (wick side)","High first")),IF(E203="Down","Low first (main side)",IF(E203="Up","Low first (wick side)","Low first"))))),"Check entries"))</f>
        <v/>
      </c>
      <c r="X203" s="28" t="n"/>
      <c r="Y203" s="27" t="n"/>
      <c r="Z203" s="27" t="n"/>
      <c r="AA203" s="27" t="n"/>
      <c r="AB203" s="27" t="n"/>
      <c r="AC203" s="27" t="n"/>
      <c r="AD203" s="27" t="n"/>
      <c r="AE203" s="28" t="n"/>
      <c r="AF203" s="30" t="n"/>
      <c r="AG203" s="27" t="n"/>
    </row>
    <row r="204">
      <c r="A204" s="25" t="n"/>
      <c r="B204" s="26">
        <f>IF(ISNUMBER(A204),TEXT(A204,"ddd"),"")</f>
        <v/>
      </c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8" t="n"/>
      <c r="M204" s="26">
        <f>IF(OR(L204="",AND(E204&lt;&gt;"Up",E204&lt;&gt;"Down")),"",IF(OR(L204="In line",L204="Mixed"),"Neutral data",IF(OR(AND(L204="Hotter",E204="Down"),AND(L204="Cooler",E204="Up")),"With data","Against data")))</f>
        <v/>
      </c>
      <c r="N204" s="28" t="n"/>
      <c r="O204" s="27" t="n"/>
      <c r="P204" s="27" t="n"/>
      <c r="Q204" s="28" t="n"/>
      <c r="R204" s="27" t="n"/>
      <c r="S204" s="29" t="n"/>
      <c r="T204" s="27" t="n"/>
      <c r="U204" s="27" t="n"/>
      <c r="V204" s="26">
        <f>IF(OR(AND(E204&lt;&gt;"Up",E204&lt;&gt;"Down"),NOT(ISNUMBER(S204)),IF(E204="Up",Q204,R204)=""),"",IF(S204&gt;=100,"Back to open",IF(OR(IF(E204="Up",Q204,R204)="1-5 min",IF(E204="Up",Q204,R204)="5-15 min"),"Continued",IF(S204&gt;=50,"Partial retrace","Stalled / chop"))))</f>
        <v/>
      </c>
      <c r="W204" s="26">
        <f>IF(OR(Q204="",R204=""),"",IFERROR(IF(AND(Q204="Not by 16:00",R204="Not by 16:00"),"Neither taken",IF(FIND("|"&amp;Q204&amp;"|","|1-5 min|5-15 min|15-60 min|9:30-11:00|11:00-16:00|Not by 16:00|")=FIND("|"&amp;R204&amp;"|","|1-5 min|5-15 min|15-60 min|9:30-11:00|11:00-16:00|Not by 16:00|"),"Same window",IF(FIND("|"&amp;Q204&amp;"|","|1-5 min|5-15 min|15-60 min|9:30-11:00|11:00-16:00|Not by 16:00|")&lt;FIND("|"&amp;R204&amp;"|","|1-5 min|5-15 min|15-60 min|9:30-11:00|11:00-16:00|Not by 16:00|"),IF(E204="Up","High first (main side)",IF(E204="Down","High first (wick side)","High first")),IF(E204="Down","Low first (main side)",IF(E204="Up","Low first (wick side)","Low first"))))),"Check entries"))</f>
        <v/>
      </c>
      <c r="X204" s="28" t="n"/>
      <c r="Y204" s="27" t="n"/>
      <c r="Z204" s="27" t="n"/>
      <c r="AA204" s="27" t="n"/>
      <c r="AB204" s="27" t="n"/>
      <c r="AC204" s="27" t="n"/>
      <c r="AD204" s="27" t="n"/>
      <c r="AE204" s="28" t="n"/>
      <c r="AF204" s="30" t="n"/>
      <c r="AG204" s="27" t="n"/>
    </row>
    <row r="205">
      <c r="A205" s="25" t="n"/>
      <c r="B205" s="26">
        <f>IF(ISNUMBER(A205),TEXT(A205,"ddd"),"")</f>
        <v/>
      </c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8" t="n"/>
      <c r="M205" s="26">
        <f>IF(OR(L205="",AND(E205&lt;&gt;"Up",E205&lt;&gt;"Down")),"",IF(OR(L205="In line",L205="Mixed"),"Neutral data",IF(OR(AND(L205="Hotter",E205="Down"),AND(L205="Cooler",E205="Up")),"With data","Against data")))</f>
        <v/>
      </c>
      <c r="N205" s="28" t="n"/>
      <c r="O205" s="27" t="n"/>
      <c r="P205" s="27" t="n"/>
      <c r="Q205" s="28" t="n"/>
      <c r="R205" s="27" t="n"/>
      <c r="S205" s="29" t="n"/>
      <c r="T205" s="27" t="n"/>
      <c r="U205" s="27" t="n"/>
      <c r="V205" s="26">
        <f>IF(OR(AND(E205&lt;&gt;"Up",E205&lt;&gt;"Down"),NOT(ISNUMBER(S205)),IF(E205="Up",Q205,R205)=""),"",IF(S205&gt;=100,"Back to open",IF(OR(IF(E205="Up",Q205,R205)="1-5 min",IF(E205="Up",Q205,R205)="5-15 min"),"Continued",IF(S205&gt;=50,"Partial retrace","Stalled / chop"))))</f>
        <v/>
      </c>
      <c r="W205" s="26">
        <f>IF(OR(Q205="",R205=""),"",IFERROR(IF(AND(Q205="Not by 16:00",R205="Not by 16:00"),"Neither taken",IF(FIND("|"&amp;Q205&amp;"|","|1-5 min|5-15 min|15-60 min|9:30-11:00|11:00-16:00|Not by 16:00|")=FIND("|"&amp;R205&amp;"|","|1-5 min|5-15 min|15-60 min|9:30-11:00|11:00-16:00|Not by 16:00|"),"Same window",IF(FIND("|"&amp;Q205&amp;"|","|1-5 min|5-15 min|15-60 min|9:30-11:00|11:00-16:00|Not by 16:00|")&lt;FIND("|"&amp;R205&amp;"|","|1-5 min|5-15 min|15-60 min|9:30-11:00|11:00-16:00|Not by 16:00|"),IF(E205="Up","High first (main side)",IF(E205="Down","High first (wick side)","High first")),IF(E205="Down","Low first (main side)",IF(E205="Up","Low first (wick side)","Low first"))))),"Check entries"))</f>
        <v/>
      </c>
      <c r="X205" s="28" t="n"/>
      <c r="Y205" s="27" t="n"/>
      <c r="Z205" s="27" t="n"/>
      <c r="AA205" s="27" t="n"/>
      <c r="AB205" s="27" t="n"/>
      <c r="AC205" s="27" t="n"/>
      <c r="AD205" s="27" t="n"/>
      <c r="AE205" s="28" t="n"/>
      <c r="AF205" s="30" t="n"/>
      <c r="AG205" s="27" t="n"/>
    </row>
    <row r="206">
      <c r="A206" s="25" t="n"/>
      <c r="B206" s="26">
        <f>IF(ISNUMBER(A206),TEXT(A206,"ddd"),"")</f>
        <v/>
      </c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8" t="n"/>
      <c r="M206" s="26">
        <f>IF(OR(L206="",AND(E206&lt;&gt;"Up",E206&lt;&gt;"Down")),"",IF(OR(L206="In line",L206="Mixed"),"Neutral data",IF(OR(AND(L206="Hotter",E206="Down"),AND(L206="Cooler",E206="Up")),"With data","Against data")))</f>
        <v/>
      </c>
      <c r="N206" s="28" t="n"/>
      <c r="O206" s="27" t="n"/>
      <c r="P206" s="27" t="n"/>
      <c r="Q206" s="28" t="n"/>
      <c r="R206" s="27" t="n"/>
      <c r="S206" s="29" t="n"/>
      <c r="T206" s="27" t="n"/>
      <c r="U206" s="27" t="n"/>
      <c r="V206" s="26">
        <f>IF(OR(AND(E206&lt;&gt;"Up",E206&lt;&gt;"Down"),NOT(ISNUMBER(S206)),IF(E206="Up",Q206,R206)=""),"",IF(S206&gt;=100,"Back to open",IF(OR(IF(E206="Up",Q206,R206)="1-5 min",IF(E206="Up",Q206,R206)="5-15 min"),"Continued",IF(S206&gt;=50,"Partial retrace","Stalled / chop"))))</f>
        <v/>
      </c>
      <c r="W206" s="26">
        <f>IF(OR(Q206="",R206=""),"",IFERROR(IF(AND(Q206="Not by 16:00",R206="Not by 16:00"),"Neither taken",IF(FIND("|"&amp;Q206&amp;"|","|1-5 min|5-15 min|15-60 min|9:30-11:00|11:00-16:00|Not by 16:00|")=FIND("|"&amp;R206&amp;"|","|1-5 min|5-15 min|15-60 min|9:30-11:00|11:00-16:00|Not by 16:00|"),"Same window",IF(FIND("|"&amp;Q206&amp;"|","|1-5 min|5-15 min|15-60 min|9:30-11:00|11:00-16:00|Not by 16:00|")&lt;FIND("|"&amp;R206&amp;"|","|1-5 min|5-15 min|15-60 min|9:30-11:00|11:00-16:00|Not by 16:00|"),IF(E206="Up","High first (main side)",IF(E206="Down","High first (wick side)","High first")),IF(E206="Down","Low first (main side)",IF(E206="Up","Low first (wick side)","Low first"))))),"Check entries"))</f>
        <v/>
      </c>
      <c r="X206" s="28" t="n"/>
      <c r="Y206" s="27" t="n"/>
      <c r="Z206" s="27" t="n"/>
      <c r="AA206" s="27" t="n"/>
      <c r="AB206" s="27" t="n"/>
      <c r="AC206" s="27" t="n"/>
      <c r="AD206" s="27" t="n"/>
      <c r="AE206" s="28" t="n"/>
      <c r="AF206" s="30" t="n"/>
      <c r="AG206" s="27" t="n"/>
    </row>
    <row r="207">
      <c r="A207" s="25" t="n"/>
      <c r="B207" s="26">
        <f>IF(ISNUMBER(A207),TEXT(A207,"ddd"),"")</f>
        <v/>
      </c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8" t="n"/>
      <c r="M207" s="26">
        <f>IF(OR(L207="",AND(E207&lt;&gt;"Up",E207&lt;&gt;"Down")),"",IF(OR(L207="In line",L207="Mixed"),"Neutral data",IF(OR(AND(L207="Hotter",E207="Down"),AND(L207="Cooler",E207="Up")),"With data","Against data")))</f>
        <v/>
      </c>
      <c r="N207" s="28" t="n"/>
      <c r="O207" s="27" t="n"/>
      <c r="P207" s="27" t="n"/>
      <c r="Q207" s="28" t="n"/>
      <c r="R207" s="27" t="n"/>
      <c r="S207" s="29" t="n"/>
      <c r="T207" s="27" t="n"/>
      <c r="U207" s="27" t="n"/>
      <c r="V207" s="26">
        <f>IF(OR(AND(E207&lt;&gt;"Up",E207&lt;&gt;"Down"),NOT(ISNUMBER(S207)),IF(E207="Up",Q207,R207)=""),"",IF(S207&gt;=100,"Back to open",IF(OR(IF(E207="Up",Q207,R207)="1-5 min",IF(E207="Up",Q207,R207)="5-15 min"),"Continued",IF(S207&gt;=50,"Partial retrace","Stalled / chop"))))</f>
        <v/>
      </c>
      <c r="W207" s="26">
        <f>IF(OR(Q207="",R207=""),"",IFERROR(IF(AND(Q207="Not by 16:00",R207="Not by 16:00"),"Neither taken",IF(FIND("|"&amp;Q207&amp;"|","|1-5 min|5-15 min|15-60 min|9:30-11:00|11:00-16:00|Not by 16:00|")=FIND("|"&amp;R207&amp;"|","|1-5 min|5-15 min|15-60 min|9:30-11:00|11:00-16:00|Not by 16:00|"),"Same window",IF(FIND("|"&amp;Q207&amp;"|","|1-5 min|5-15 min|15-60 min|9:30-11:00|11:00-16:00|Not by 16:00|")&lt;FIND("|"&amp;R207&amp;"|","|1-5 min|5-15 min|15-60 min|9:30-11:00|11:00-16:00|Not by 16:00|"),IF(E207="Up","High first (main side)",IF(E207="Down","High first (wick side)","High first")),IF(E207="Down","Low first (main side)",IF(E207="Up","Low first (wick side)","Low first"))))),"Check entries"))</f>
        <v/>
      </c>
      <c r="X207" s="28" t="n"/>
      <c r="Y207" s="27" t="n"/>
      <c r="Z207" s="27" t="n"/>
      <c r="AA207" s="27" t="n"/>
      <c r="AB207" s="27" t="n"/>
      <c r="AC207" s="27" t="n"/>
      <c r="AD207" s="27" t="n"/>
      <c r="AE207" s="28" t="n"/>
      <c r="AF207" s="30" t="n"/>
      <c r="AG207" s="27" t="n"/>
    </row>
    <row r="208">
      <c r="A208" s="25" t="n"/>
      <c r="B208" s="26">
        <f>IF(ISNUMBER(A208),TEXT(A208,"ddd"),"")</f>
        <v/>
      </c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8" t="n"/>
      <c r="M208" s="26">
        <f>IF(OR(L208="",AND(E208&lt;&gt;"Up",E208&lt;&gt;"Down")),"",IF(OR(L208="In line",L208="Mixed"),"Neutral data",IF(OR(AND(L208="Hotter",E208="Down"),AND(L208="Cooler",E208="Up")),"With data","Against data")))</f>
        <v/>
      </c>
      <c r="N208" s="28" t="n"/>
      <c r="O208" s="27" t="n"/>
      <c r="P208" s="27" t="n"/>
      <c r="Q208" s="28" t="n"/>
      <c r="R208" s="27" t="n"/>
      <c r="S208" s="29" t="n"/>
      <c r="T208" s="27" t="n"/>
      <c r="U208" s="27" t="n"/>
      <c r="V208" s="26">
        <f>IF(OR(AND(E208&lt;&gt;"Up",E208&lt;&gt;"Down"),NOT(ISNUMBER(S208)),IF(E208="Up",Q208,R208)=""),"",IF(S208&gt;=100,"Back to open",IF(OR(IF(E208="Up",Q208,R208)="1-5 min",IF(E208="Up",Q208,R208)="5-15 min"),"Continued",IF(S208&gt;=50,"Partial retrace","Stalled / chop"))))</f>
        <v/>
      </c>
      <c r="W208" s="26">
        <f>IF(OR(Q208="",R208=""),"",IFERROR(IF(AND(Q208="Not by 16:00",R208="Not by 16:00"),"Neither taken",IF(FIND("|"&amp;Q208&amp;"|","|1-5 min|5-15 min|15-60 min|9:30-11:00|11:00-16:00|Not by 16:00|")=FIND("|"&amp;R208&amp;"|","|1-5 min|5-15 min|15-60 min|9:30-11:00|11:00-16:00|Not by 16:00|"),"Same window",IF(FIND("|"&amp;Q208&amp;"|","|1-5 min|5-15 min|15-60 min|9:30-11:00|11:00-16:00|Not by 16:00|")&lt;FIND("|"&amp;R208&amp;"|","|1-5 min|5-15 min|15-60 min|9:30-11:00|11:00-16:00|Not by 16:00|"),IF(E208="Up","High first (main side)",IF(E208="Down","High first (wick side)","High first")),IF(E208="Down","Low first (main side)",IF(E208="Up","Low first (wick side)","Low first"))))),"Check entries"))</f>
        <v/>
      </c>
      <c r="X208" s="28" t="n"/>
      <c r="Y208" s="27" t="n"/>
      <c r="Z208" s="27" t="n"/>
      <c r="AA208" s="27" t="n"/>
      <c r="AB208" s="27" t="n"/>
      <c r="AC208" s="27" t="n"/>
      <c r="AD208" s="27" t="n"/>
      <c r="AE208" s="28" t="n"/>
      <c r="AF208" s="30" t="n"/>
      <c r="AG208" s="27" t="n"/>
    </row>
    <row r="209">
      <c r="A209" s="25" t="n"/>
      <c r="B209" s="26">
        <f>IF(ISNUMBER(A209),TEXT(A209,"ddd"),"")</f>
        <v/>
      </c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8" t="n"/>
      <c r="M209" s="26">
        <f>IF(OR(L209="",AND(E209&lt;&gt;"Up",E209&lt;&gt;"Down")),"",IF(OR(L209="In line",L209="Mixed"),"Neutral data",IF(OR(AND(L209="Hotter",E209="Down"),AND(L209="Cooler",E209="Up")),"With data","Against data")))</f>
        <v/>
      </c>
      <c r="N209" s="28" t="n"/>
      <c r="O209" s="27" t="n"/>
      <c r="P209" s="27" t="n"/>
      <c r="Q209" s="28" t="n"/>
      <c r="R209" s="27" t="n"/>
      <c r="S209" s="29" t="n"/>
      <c r="T209" s="27" t="n"/>
      <c r="U209" s="27" t="n"/>
      <c r="V209" s="26">
        <f>IF(OR(AND(E209&lt;&gt;"Up",E209&lt;&gt;"Down"),NOT(ISNUMBER(S209)),IF(E209="Up",Q209,R209)=""),"",IF(S209&gt;=100,"Back to open",IF(OR(IF(E209="Up",Q209,R209)="1-5 min",IF(E209="Up",Q209,R209)="5-15 min"),"Continued",IF(S209&gt;=50,"Partial retrace","Stalled / chop"))))</f>
        <v/>
      </c>
      <c r="W209" s="26">
        <f>IF(OR(Q209="",R209=""),"",IFERROR(IF(AND(Q209="Not by 16:00",R209="Not by 16:00"),"Neither taken",IF(FIND("|"&amp;Q209&amp;"|","|1-5 min|5-15 min|15-60 min|9:30-11:00|11:00-16:00|Not by 16:00|")=FIND("|"&amp;R209&amp;"|","|1-5 min|5-15 min|15-60 min|9:30-11:00|11:00-16:00|Not by 16:00|"),"Same window",IF(FIND("|"&amp;Q209&amp;"|","|1-5 min|5-15 min|15-60 min|9:30-11:00|11:00-16:00|Not by 16:00|")&lt;FIND("|"&amp;R209&amp;"|","|1-5 min|5-15 min|15-60 min|9:30-11:00|11:00-16:00|Not by 16:00|"),IF(E209="Up","High first (main side)",IF(E209="Down","High first (wick side)","High first")),IF(E209="Down","Low first (main side)",IF(E209="Up","Low first (wick side)","Low first"))))),"Check entries"))</f>
        <v/>
      </c>
      <c r="X209" s="28" t="n"/>
      <c r="Y209" s="27" t="n"/>
      <c r="Z209" s="27" t="n"/>
      <c r="AA209" s="27" t="n"/>
      <c r="AB209" s="27" t="n"/>
      <c r="AC209" s="27" t="n"/>
      <c r="AD209" s="27" t="n"/>
      <c r="AE209" s="28" t="n"/>
      <c r="AF209" s="30" t="n"/>
      <c r="AG209" s="27" t="n"/>
    </row>
    <row r="210">
      <c r="A210" s="25" t="n"/>
      <c r="B210" s="26">
        <f>IF(ISNUMBER(A210),TEXT(A210,"ddd"),"")</f>
        <v/>
      </c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8" t="n"/>
      <c r="M210" s="26">
        <f>IF(OR(L210="",AND(E210&lt;&gt;"Up",E210&lt;&gt;"Down")),"",IF(OR(L210="In line",L210="Mixed"),"Neutral data",IF(OR(AND(L210="Hotter",E210="Down"),AND(L210="Cooler",E210="Up")),"With data","Against data")))</f>
        <v/>
      </c>
      <c r="N210" s="28" t="n"/>
      <c r="O210" s="27" t="n"/>
      <c r="P210" s="27" t="n"/>
      <c r="Q210" s="28" t="n"/>
      <c r="R210" s="27" t="n"/>
      <c r="S210" s="29" t="n"/>
      <c r="T210" s="27" t="n"/>
      <c r="U210" s="27" t="n"/>
      <c r="V210" s="26">
        <f>IF(OR(AND(E210&lt;&gt;"Up",E210&lt;&gt;"Down"),NOT(ISNUMBER(S210)),IF(E210="Up",Q210,R210)=""),"",IF(S210&gt;=100,"Back to open",IF(OR(IF(E210="Up",Q210,R210)="1-5 min",IF(E210="Up",Q210,R210)="5-15 min"),"Continued",IF(S210&gt;=50,"Partial retrace","Stalled / chop"))))</f>
        <v/>
      </c>
      <c r="W210" s="26">
        <f>IF(OR(Q210="",R210=""),"",IFERROR(IF(AND(Q210="Not by 16:00",R210="Not by 16:00"),"Neither taken",IF(FIND("|"&amp;Q210&amp;"|","|1-5 min|5-15 min|15-60 min|9:30-11:00|11:00-16:00|Not by 16:00|")=FIND("|"&amp;R210&amp;"|","|1-5 min|5-15 min|15-60 min|9:30-11:00|11:00-16:00|Not by 16:00|"),"Same window",IF(FIND("|"&amp;Q210&amp;"|","|1-5 min|5-15 min|15-60 min|9:30-11:00|11:00-16:00|Not by 16:00|")&lt;FIND("|"&amp;R210&amp;"|","|1-5 min|5-15 min|15-60 min|9:30-11:00|11:00-16:00|Not by 16:00|"),IF(E210="Up","High first (main side)",IF(E210="Down","High first (wick side)","High first")),IF(E210="Down","Low first (main side)",IF(E210="Up","Low first (wick side)","Low first"))))),"Check entries"))</f>
        <v/>
      </c>
      <c r="X210" s="28" t="n"/>
      <c r="Y210" s="27" t="n"/>
      <c r="Z210" s="27" t="n"/>
      <c r="AA210" s="27" t="n"/>
      <c r="AB210" s="27" t="n"/>
      <c r="AC210" s="27" t="n"/>
      <c r="AD210" s="27" t="n"/>
      <c r="AE210" s="28" t="n"/>
      <c r="AF210" s="30" t="n"/>
      <c r="AG210" s="27" t="n"/>
    </row>
    <row r="211">
      <c r="A211" s="25" t="n"/>
      <c r="B211" s="26">
        <f>IF(ISNUMBER(A211),TEXT(A211,"ddd"),"")</f>
        <v/>
      </c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8" t="n"/>
      <c r="M211" s="26">
        <f>IF(OR(L211="",AND(E211&lt;&gt;"Up",E211&lt;&gt;"Down")),"",IF(OR(L211="In line",L211="Mixed"),"Neutral data",IF(OR(AND(L211="Hotter",E211="Down"),AND(L211="Cooler",E211="Up")),"With data","Against data")))</f>
        <v/>
      </c>
      <c r="N211" s="28" t="n"/>
      <c r="O211" s="27" t="n"/>
      <c r="P211" s="27" t="n"/>
      <c r="Q211" s="28" t="n"/>
      <c r="R211" s="27" t="n"/>
      <c r="S211" s="29" t="n"/>
      <c r="T211" s="27" t="n"/>
      <c r="U211" s="27" t="n"/>
      <c r="V211" s="26">
        <f>IF(OR(AND(E211&lt;&gt;"Up",E211&lt;&gt;"Down"),NOT(ISNUMBER(S211)),IF(E211="Up",Q211,R211)=""),"",IF(S211&gt;=100,"Back to open",IF(OR(IF(E211="Up",Q211,R211)="1-5 min",IF(E211="Up",Q211,R211)="5-15 min"),"Continued",IF(S211&gt;=50,"Partial retrace","Stalled / chop"))))</f>
        <v/>
      </c>
      <c r="W211" s="26">
        <f>IF(OR(Q211="",R211=""),"",IFERROR(IF(AND(Q211="Not by 16:00",R211="Not by 16:00"),"Neither taken",IF(FIND("|"&amp;Q211&amp;"|","|1-5 min|5-15 min|15-60 min|9:30-11:00|11:00-16:00|Not by 16:00|")=FIND("|"&amp;R211&amp;"|","|1-5 min|5-15 min|15-60 min|9:30-11:00|11:00-16:00|Not by 16:00|"),"Same window",IF(FIND("|"&amp;Q211&amp;"|","|1-5 min|5-15 min|15-60 min|9:30-11:00|11:00-16:00|Not by 16:00|")&lt;FIND("|"&amp;R211&amp;"|","|1-5 min|5-15 min|15-60 min|9:30-11:00|11:00-16:00|Not by 16:00|"),IF(E211="Up","High first (main side)",IF(E211="Down","High first (wick side)","High first")),IF(E211="Down","Low first (main side)",IF(E211="Up","Low first (wick side)","Low first"))))),"Check entries"))</f>
        <v/>
      </c>
      <c r="X211" s="28" t="n"/>
      <c r="Y211" s="27" t="n"/>
      <c r="Z211" s="27" t="n"/>
      <c r="AA211" s="27" t="n"/>
      <c r="AB211" s="27" t="n"/>
      <c r="AC211" s="27" t="n"/>
      <c r="AD211" s="27" t="n"/>
      <c r="AE211" s="28" t="n"/>
      <c r="AF211" s="30" t="n"/>
      <c r="AG211" s="27" t="n"/>
    </row>
    <row r="212">
      <c r="A212" s="25" t="n"/>
      <c r="B212" s="26">
        <f>IF(ISNUMBER(A212),TEXT(A212,"ddd"),"")</f>
        <v/>
      </c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8" t="n"/>
      <c r="M212" s="26">
        <f>IF(OR(L212="",AND(E212&lt;&gt;"Up",E212&lt;&gt;"Down")),"",IF(OR(L212="In line",L212="Mixed"),"Neutral data",IF(OR(AND(L212="Hotter",E212="Down"),AND(L212="Cooler",E212="Up")),"With data","Against data")))</f>
        <v/>
      </c>
      <c r="N212" s="28" t="n"/>
      <c r="O212" s="27" t="n"/>
      <c r="P212" s="27" t="n"/>
      <c r="Q212" s="28" t="n"/>
      <c r="R212" s="27" t="n"/>
      <c r="S212" s="29" t="n"/>
      <c r="T212" s="27" t="n"/>
      <c r="U212" s="27" t="n"/>
      <c r="V212" s="26">
        <f>IF(OR(AND(E212&lt;&gt;"Up",E212&lt;&gt;"Down"),NOT(ISNUMBER(S212)),IF(E212="Up",Q212,R212)=""),"",IF(S212&gt;=100,"Back to open",IF(OR(IF(E212="Up",Q212,R212)="1-5 min",IF(E212="Up",Q212,R212)="5-15 min"),"Continued",IF(S212&gt;=50,"Partial retrace","Stalled / chop"))))</f>
        <v/>
      </c>
      <c r="W212" s="26">
        <f>IF(OR(Q212="",R212=""),"",IFERROR(IF(AND(Q212="Not by 16:00",R212="Not by 16:00"),"Neither taken",IF(FIND("|"&amp;Q212&amp;"|","|1-5 min|5-15 min|15-60 min|9:30-11:00|11:00-16:00|Not by 16:00|")=FIND("|"&amp;R212&amp;"|","|1-5 min|5-15 min|15-60 min|9:30-11:00|11:00-16:00|Not by 16:00|"),"Same window",IF(FIND("|"&amp;Q212&amp;"|","|1-5 min|5-15 min|15-60 min|9:30-11:00|11:00-16:00|Not by 16:00|")&lt;FIND("|"&amp;R212&amp;"|","|1-5 min|5-15 min|15-60 min|9:30-11:00|11:00-16:00|Not by 16:00|"),IF(E212="Up","High first (main side)",IF(E212="Down","High first (wick side)","High first")),IF(E212="Down","Low first (main side)",IF(E212="Up","Low first (wick side)","Low first"))))),"Check entries"))</f>
        <v/>
      </c>
      <c r="X212" s="28" t="n"/>
      <c r="Y212" s="27" t="n"/>
      <c r="Z212" s="27" t="n"/>
      <c r="AA212" s="27" t="n"/>
      <c r="AB212" s="27" t="n"/>
      <c r="AC212" s="27" t="n"/>
      <c r="AD212" s="27" t="n"/>
      <c r="AE212" s="28" t="n"/>
      <c r="AF212" s="30" t="n"/>
      <c r="AG212" s="27" t="n"/>
    </row>
    <row r="213">
      <c r="A213" s="25" t="n"/>
      <c r="B213" s="26">
        <f>IF(ISNUMBER(A213),TEXT(A213,"ddd"),"")</f>
        <v/>
      </c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8" t="n"/>
      <c r="M213" s="26">
        <f>IF(OR(L213="",AND(E213&lt;&gt;"Up",E213&lt;&gt;"Down")),"",IF(OR(L213="In line",L213="Mixed"),"Neutral data",IF(OR(AND(L213="Hotter",E213="Down"),AND(L213="Cooler",E213="Up")),"With data","Against data")))</f>
        <v/>
      </c>
      <c r="N213" s="28" t="n"/>
      <c r="O213" s="27" t="n"/>
      <c r="P213" s="27" t="n"/>
      <c r="Q213" s="28" t="n"/>
      <c r="R213" s="27" t="n"/>
      <c r="S213" s="29" t="n"/>
      <c r="T213" s="27" t="n"/>
      <c r="U213" s="27" t="n"/>
      <c r="V213" s="26">
        <f>IF(OR(AND(E213&lt;&gt;"Up",E213&lt;&gt;"Down"),NOT(ISNUMBER(S213)),IF(E213="Up",Q213,R213)=""),"",IF(S213&gt;=100,"Back to open",IF(OR(IF(E213="Up",Q213,R213)="1-5 min",IF(E213="Up",Q213,R213)="5-15 min"),"Continued",IF(S213&gt;=50,"Partial retrace","Stalled / chop"))))</f>
        <v/>
      </c>
      <c r="W213" s="26">
        <f>IF(OR(Q213="",R213=""),"",IFERROR(IF(AND(Q213="Not by 16:00",R213="Not by 16:00"),"Neither taken",IF(FIND("|"&amp;Q213&amp;"|","|1-5 min|5-15 min|15-60 min|9:30-11:00|11:00-16:00|Not by 16:00|")=FIND("|"&amp;R213&amp;"|","|1-5 min|5-15 min|15-60 min|9:30-11:00|11:00-16:00|Not by 16:00|"),"Same window",IF(FIND("|"&amp;Q213&amp;"|","|1-5 min|5-15 min|15-60 min|9:30-11:00|11:00-16:00|Not by 16:00|")&lt;FIND("|"&amp;R213&amp;"|","|1-5 min|5-15 min|15-60 min|9:30-11:00|11:00-16:00|Not by 16:00|"),IF(E213="Up","High first (main side)",IF(E213="Down","High first (wick side)","High first")),IF(E213="Down","Low first (main side)",IF(E213="Up","Low first (wick side)","Low first"))))),"Check entries"))</f>
        <v/>
      </c>
      <c r="X213" s="28" t="n"/>
      <c r="Y213" s="27" t="n"/>
      <c r="Z213" s="27" t="n"/>
      <c r="AA213" s="27" t="n"/>
      <c r="AB213" s="27" t="n"/>
      <c r="AC213" s="27" t="n"/>
      <c r="AD213" s="27" t="n"/>
      <c r="AE213" s="28" t="n"/>
      <c r="AF213" s="30" t="n"/>
      <c r="AG213" s="27" t="n"/>
    </row>
    <row r="214">
      <c r="A214" s="25" t="n"/>
      <c r="B214" s="26">
        <f>IF(ISNUMBER(A214),TEXT(A214,"ddd"),"")</f>
        <v/>
      </c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8" t="n"/>
      <c r="M214" s="26">
        <f>IF(OR(L214="",AND(E214&lt;&gt;"Up",E214&lt;&gt;"Down")),"",IF(OR(L214="In line",L214="Mixed"),"Neutral data",IF(OR(AND(L214="Hotter",E214="Down"),AND(L214="Cooler",E214="Up")),"With data","Against data")))</f>
        <v/>
      </c>
      <c r="N214" s="28" t="n"/>
      <c r="O214" s="27" t="n"/>
      <c r="P214" s="27" t="n"/>
      <c r="Q214" s="28" t="n"/>
      <c r="R214" s="27" t="n"/>
      <c r="S214" s="29" t="n"/>
      <c r="T214" s="27" t="n"/>
      <c r="U214" s="27" t="n"/>
      <c r="V214" s="26">
        <f>IF(OR(AND(E214&lt;&gt;"Up",E214&lt;&gt;"Down"),NOT(ISNUMBER(S214)),IF(E214="Up",Q214,R214)=""),"",IF(S214&gt;=100,"Back to open",IF(OR(IF(E214="Up",Q214,R214)="1-5 min",IF(E214="Up",Q214,R214)="5-15 min"),"Continued",IF(S214&gt;=50,"Partial retrace","Stalled / chop"))))</f>
        <v/>
      </c>
      <c r="W214" s="26">
        <f>IF(OR(Q214="",R214=""),"",IFERROR(IF(AND(Q214="Not by 16:00",R214="Not by 16:00"),"Neither taken",IF(FIND("|"&amp;Q214&amp;"|","|1-5 min|5-15 min|15-60 min|9:30-11:00|11:00-16:00|Not by 16:00|")=FIND("|"&amp;R214&amp;"|","|1-5 min|5-15 min|15-60 min|9:30-11:00|11:00-16:00|Not by 16:00|"),"Same window",IF(FIND("|"&amp;Q214&amp;"|","|1-5 min|5-15 min|15-60 min|9:30-11:00|11:00-16:00|Not by 16:00|")&lt;FIND("|"&amp;R214&amp;"|","|1-5 min|5-15 min|15-60 min|9:30-11:00|11:00-16:00|Not by 16:00|"),IF(E214="Up","High first (main side)",IF(E214="Down","High first (wick side)","High first")),IF(E214="Down","Low first (main side)",IF(E214="Up","Low first (wick side)","Low first"))))),"Check entries"))</f>
        <v/>
      </c>
      <c r="X214" s="28" t="n"/>
      <c r="Y214" s="27" t="n"/>
      <c r="Z214" s="27" t="n"/>
      <c r="AA214" s="27" t="n"/>
      <c r="AB214" s="27" t="n"/>
      <c r="AC214" s="27" t="n"/>
      <c r="AD214" s="27" t="n"/>
      <c r="AE214" s="28" t="n"/>
      <c r="AF214" s="30" t="n"/>
      <c r="AG214" s="27" t="n"/>
    </row>
    <row r="215">
      <c r="A215" s="25" t="n"/>
      <c r="B215" s="26">
        <f>IF(ISNUMBER(A215),TEXT(A215,"ddd"),"")</f>
        <v/>
      </c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8" t="n"/>
      <c r="M215" s="26">
        <f>IF(OR(L215="",AND(E215&lt;&gt;"Up",E215&lt;&gt;"Down")),"",IF(OR(L215="In line",L215="Mixed"),"Neutral data",IF(OR(AND(L215="Hotter",E215="Down"),AND(L215="Cooler",E215="Up")),"With data","Against data")))</f>
        <v/>
      </c>
      <c r="N215" s="28" t="n"/>
      <c r="O215" s="27" t="n"/>
      <c r="P215" s="27" t="n"/>
      <c r="Q215" s="28" t="n"/>
      <c r="R215" s="27" t="n"/>
      <c r="S215" s="29" t="n"/>
      <c r="T215" s="27" t="n"/>
      <c r="U215" s="27" t="n"/>
      <c r="V215" s="26">
        <f>IF(OR(AND(E215&lt;&gt;"Up",E215&lt;&gt;"Down"),NOT(ISNUMBER(S215)),IF(E215="Up",Q215,R215)=""),"",IF(S215&gt;=100,"Back to open",IF(OR(IF(E215="Up",Q215,R215)="1-5 min",IF(E215="Up",Q215,R215)="5-15 min"),"Continued",IF(S215&gt;=50,"Partial retrace","Stalled / chop"))))</f>
        <v/>
      </c>
      <c r="W215" s="26">
        <f>IF(OR(Q215="",R215=""),"",IFERROR(IF(AND(Q215="Not by 16:00",R215="Not by 16:00"),"Neither taken",IF(FIND("|"&amp;Q215&amp;"|","|1-5 min|5-15 min|15-60 min|9:30-11:00|11:00-16:00|Not by 16:00|")=FIND("|"&amp;R215&amp;"|","|1-5 min|5-15 min|15-60 min|9:30-11:00|11:00-16:00|Not by 16:00|"),"Same window",IF(FIND("|"&amp;Q215&amp;"|","|1-5 min|5-15 min|15-60 min|9:30-11:00|11:00-16:00|Not by 16:00|")&lt;FIND("|"&amp;R215&amp;"|","|1-5 min|5-15 min|15-60 min|9:30-11:00|11:00-16:00|Not by 16:00|"),IF(E215="Up","High first (main side)",IF(E215="Down","High first (wick side)","High first")),IF(E215="Down","Low first (main side)",IF(E215="Up","Low first (wick side)","Low first"))))),"Check entries"))</f>
        <v/>
      </c>
      <c r="X215" s="28" t="n"/>
      <c r="Y215" s="27" t="n"/>
      <c r="Z215" s="27" t="n"/>
      <c r="AA215" s="27" t="n"/>
      <c r="AB215" s="27" t="n"/>
      <c r="AC215" s="27" t="n"/>
      <c r="AD215" s="27" t="n"/>
      <c r="AE215" s="28" t="n"/>
      <c r="AF215" s="30" t="n"/>
      <c r="AG215" s="27" t="n"/>
    </row>
    <row r="216">
      <c r="A216" s="25" t="n"/>
      <c r="B216" s="26">
        <f>IF(ISNUMBER(A216),TEXT(A216,"ddd"),"")</f>
        <v/>
      </c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8" t="n"/>
      <c r="M216" s="26">
        <f>IF(OR(L216="",AND(E216&lt;&gt;"Up",E216&lt;&gt;"Down")),"",IF(OR(L216="In line",L216="Mixed"),"Neutral data",IF(OR(AND(L216="Hotter",E216="Down"),AND(L216="Cooler",E216="Up")),"With data","Against data")))</f>
        <v/>
      </c>
      <c r="N216" s="28" t="n"/>
      <c r="O216" s="27" t="n"/>
      <c r="P216" s="27" t="n"/>
      <c r="Q216" s="28" t="n"/>
      <c r="R216" s="27" t="n"/>
      <c r="S216" s="29" t="n"/>
      <c r="T216" s="27" t="n"/>
      <c r="U216" s="27" t="n"/>
      <c r="V216" s="26">
        <f>IF(OR(AND(E216&lt;&gt;"Up",E216&lt;&gt;"Down"),NOT(ISNUMBER(S216)),IF(E216="Up",Q216,R216)=""),"",IF(S216&gt;=100,"Back to open",IF(OR(IF(E216="Up",Q216,R216)="1-5 min",IF(E216="Up",Q216,R216)="5-15 min"),"Continued",IF(S216&gt;=50,"Partial retrace","Stalled / chop"))))</f>
        <v/>
      </c>
      <c r="W216" s="26">
        <f>IF(OR(Q216="",R216=""),"",IFERROR(IF(AND(Q216="Not by 16:00",R216="Not by 16:00"),"Neither taken",IF(FIND("|"&amp;Q216&amp;"|","|1-5 min|5-15 min|15-60 min|9:30-11:00|11:00-16:00|Not by 16:00|")=FIND("|"&amp;R216&amp;"|","|1-5 min|5-15 min|15-60 min|9:30-11:00|11:00-16:00|Not by 16:00|"),"Same window",IF(FIND("|"&amp;Q216&amp;"|","|1-5 min|5-15 min|15-60 min|9:30-11:00|11:00-16:00|Not by 16:00|")&lt;FIND("|"&amp;R216&amp;"|","|1-5 min|5-15 min|15-60 min|9:30-11:00|11:00-16:00|Not by 16:00|"),IF(E216="Up","High first (main side)",IF(E216="Down","High first (wick side)","High first")),IF(E216="Down","Low first (main side)",IF(E216="Up","Low first (wick side)","Low first"))))),"Check entries"))</f>
        <v/>
      </c>
      <c r="X216" s="28" t="n"/>
      <c r="Y216" s="27" t="n"/>
      <c r="Z216" s="27" t="n"/>
      <c r="AA216" s="27" t="n"/>
      <c r="AB216" s="27" t="n"/>
      <c r="AC216" s="27" t="n"/>
      <c r="AD216" s="27" t="n"/>
      <c r="AE216" s="28" t="n"/>
      <c r="AF216" s="30" t="n"/>
      <c r="AG216" s="27" t="n"/>
    </row>
    <row r="217">
      <c r="A217" s="25" t="n"/>
      <c r="B217" s="26">
        <f>IF(ISNUMBER(A217),TEXT(A217,"ddd"),"")</f>
        <v/>
      </c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8" t="n"/>
      <c r="M217" s="26">
        <f>IF(OR(L217="",AND(E217&lt;&gt;"Up",E217&lt;&gt;"Down")),"",IF(OR(L217="In line",L217="Mixed"),"Neutral data",IF(OR(AND(L217="Hotter",E217="Down"),AND(L217="Cooler",E217="Up")),"With data","Against data")))</f>
        <v/>
      </c>
      <c r="N217" s="28" t="n"/>
      <c r="O217" s="27" t="n"/>
      <c r="P217" s="27" t="n"/>
      <c r="Q217" s="28" t="n"/>
      <c r="R217" s="27" t="n"/>
      <c r="S217" s="29" t="n"/>
      <c r="T217" s="27" t="n"/>
      <c r="U217" s="27" t="n"/>
      <c r="V217" s="26">
        <f>IF(OR(AND(E217&lt;&gt;"Up",E217&lt;&gt;"Down"),NOT(ISNUMBER(S217)),IF(E217="Up",Q217,R217)=""),"",IF(S217&gt;=100,"Back to open",IF(OR(IF(E217="Up",Q217,R217)="1-5 min",IF(E217="Up",Q217,R217)="5-15 min"),"Continued",IF(S217&gt;=50,"Partial retrace","Stalled / chop"))))</f>
        <v/>
      </c>
      <c r="W217" s="26">
        <f>IF(OR(Q217="",R217=""),"",IFERROR(IF(AND(Q217="Not by 16:00",R217="Not by 16:00"),"Neither taken",IF(FIND("|"&amp;Q217&amp;"|","|1-5 min|5-15 min|15-60 min|9:30-11:00|11:00-16:00|Not by 16:00|")=FIND("|"&amp;R217&amp;"|","|1-5 min|5-15 min|15-60 min|9:30-11:00|11:00-16:00|Not by 16:00|"),"Same window",IF(FIND("|"&amp;Q217&amp;"|","|1-5 min|5-15 min|15-60 min|9:30-11:00|11:00-16:00|Not by 16:00|")&lt;FIND("|"&amp;R217&amp;"|","|1-5 min|5-15 min|15-60 min|9:30-11:00|11:00-16:00|Not by 16:00|"),IF(E217="Up","High first (main side)",IF(E217="Down","High first (wick side)","High first")),IF(E217="Down","Low first (main side)",IF(E217="Up","Low first (wick side)","Low first"))))),"Check entries"))</f>
        <v/>
      </c>
      <c r="X217" s="28" t="n"/>
      <c r="Y217" s="27" t="n"/>
      <c r="Z217" s="27" t="n"/>
      <c r="AA217" s="27" t="n"/>
      <c r="AB217" s="27" t="n"/>
      <c r="AC217" s="27" t="n"/>
      <c r="AD217" s="27" t="n"/>
      <c r="AE217" s="28" t="n"/>
      <c r="AF217" s="30" t="n"/>
      <c r="AG217" s="27" t="n"/>
    </row>
    <row r="218">
      <c r="A218" s="25" t="n"/>
      <c r="B218" s="26">
        <f>IF(ISNUMBER(A218),TEXT(A218,"ddd"),"")</f>
        <v/>
      </c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8" t="n"/>
      <c r="M218" s="26">
        <f>IF(OR(L218="",AND(E218&lt;&gt;"Up",E218&lt;&gt;"Down")),"",IF(OR(L218="In line",L218="Mixed"),"Neutral data",IF(OR(AND(L218="Hotter",E218="Down"),AND(L218="Cooler",E218="Up")),"With data","Against data")))</f>
        <v/>
      </c>
      <c r="N218" s="28" t="n"/>
      <c r="O218" s="27" t="n"/>
      <c r="P218" s="27" t="n"/>
      <c r="Q218" s="28" t="n"/>
      <c r="R218" s="27" t="n"/>
      <c r="S218" s="29" t="n"/>
      <c r="T218" s="27" t="n"/>
      <c r="U218" s="27" t="n"/>
      <c r="V218" s="26">
        <f>IF(OR(AND(E218&lt;&gt;"Up",E218&lt;&gt;"Down"),NOT(ISNUMBER(S218)),IF(E218="Up",Q218,R218)=""),"",IF(S218&gt;=100,"Back to open",IF(OR(IF(E218="Up",Q218,R218)="1-5 min",IF(E218="Up",Q218,R218)="5-15 min"),"Continued",IF(S218&gt;=50,"Partial retrace","Stalled / chop"))))</f>
        <v/>
      </c>
      <c r="W218" s="26">
        <f>IF(OR(Q218="",R218=""),"",IFERROR(IF(AND(Q218="Not by 16:00",R218="Not by 16:00"),"Neither taken",IF(FIND("|"&amp;Q218&amp;"|","|1-5 min|5-15 min|15-60 min|9:30-11:00|11:00-16:00|Not by 16:00|")=FIND("|"&amp;R218&amp;"|","|1-5 min|5-15 min|15-60 min|9:30-11:00|11:00-16:00|Not by 16:00|"),"Same window",IF(FIND("|"&amp;Q218&amp;"|","|1-5 min|5-15 min|15-60 min|9:30-11:00|11:00-16:00|Not by 16:00|")&lt;FIND("|"&amp;R218&amp;"|","|1-5 min|5-15 min|15-60 min|9:30-11:00|11:00-16:00|Not by 16:00|"),IF(E218="Up","High first (main side)",IF(E218="Down","High first (wick side)","High first")),IF(E218="Down","Low first (main side)",IF(E218="Up","Low first (wick side)","Low first"))))),"Check entries"))</f>
        <v/>
      </c>
      <c r="X218" s="28" t="n"/>
      <c r="Y218" s="27" t="n"/>
      <c r="Z218" s="27" t="n"/>
      <c r="AA218" s="27" t="n"/>
      <c r="AB218" s="27" t="n"/>
      <c r="AC218" s="27" t="n"/>
      <c r="AD218" s="27" t="n"/>
      <c r="AE218" s="28" t="n"/>
      <c r="AF218" s="30" t="n"/>
      <c r="AG218" s="27" t="n"/>
    </row>
    <row r="219">
      <c r="A219" s="25" t="n"/>
      <c r="B219" s="26">
        <f>IF(ISNUMBER(A219),TEXT(A219,"ddd"),"")</f>
        <v/>
      </c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8" t="n"/>
      <c r="M219" s="26">
        <f>IF(OR(L219="",AND(E219&lt;&gt;"Up",E219&lt;&gt;"Down")),"",IF(OR(L219="In line",L219="Mixed"),"Neutral data",IF(OR(AND(L219="Hotter",E219="Down"),AND(L219="Cooler",E219="Up")),"With data","Against data")))</f>
        <v/>
      </c>
      <c r="N219" s="28" t="n"/>
      <c r="O219" s="27" t="n"/>
      <c r="P219" s="27" t="n"/>
      <c r="Q219" s="28" t="n"/>
      <c r="R219" s="27" t="n"/>
      <c r="S219" s="29" t="n"/>
      <c r="T219" s="27" t="n"/>
      <c r="U219" s="27" t="n"/>
      <c r="V219" s="26">
        <f>IF(OR(AND(E219&lt;&gt;"Up",E219&lt;&gt;"Down"),NOT(ISNUMBER(S219)),IF(E219="Up",Q219,R219)=""),"",IF(S219&gt;=100,"Back to open",IF(OR(IF(E219="Up",Q219,R219)="1-5 min",IF(E219="Up",Q219,R219)="5-15 min"),"Continued",IF(S219&gt;=50,"Partial retrace","Stalled / chop"))))</f>
        <v/>
      </c>
      <c r="W219" s="26">
        <f>IF(OR(Q219="",R219=""),"",IFERROR(IF(AND(Q219="Not by 16:00",R219="Not by 16:00"),"Neither taken",IF(FIND("|"&amp;Q219&amp;"|","|1-5 min|5-15 min|15-60 min|9:30-11:00|11:00-16:00|Not by 16:00|")=FIND("|"&amp;R219&amp;"|","|1-5 min|5-15 min|15-60 min|9:30-11:00|11:00-16:00|Not by 16:00|"),"Same window",IF(FIND("|"&amp;Q219&amp;"|","|1-5 min|5-15 min|15-60 min|9:30-11:00|11:00-16:00|Not by 16:00|")&lt;FIND("|"&amp;R219&amp;"|","|1-5 min|5-15 min|15-60 min|9:30-11:00|11:00-16:00|Not by 16:00|"),IF(E219="Up","High first (main side)",IF(E219="Down","High first (wick side)","High first")),IF(E219="Down","Low first (main side)",IF(E219="Up","Low first (wick side)","Low first"))))),"Check entries"))</f>
        <v/>
      </c>
      <c r="X219" s="28" t="n"/>
      <c r="Y219" s="27" t="n"/>
      <c r="Z219" s="27" t="n"/>
      <c r="AA219" s="27" t="n"/>
      <c r="AB219" s="27" t="n"/>
      <c r="AC219" s="27" t="n"/>
      <c r="AD219" s="27" t="n"/>
      <c r="AE219" s="28" t="n"/>
      <c r="AF219" s="30" t="n"/>
      <c r="AG219" s="27" t="n"/>
    </row>
    <row r="220">
      <c r="A220" s="25" t="n"/>
      <c r="B220" s="26">
        <f>IF(ISNUMBER(A220),TEXT(A220,"ddd"),"")</f>
        <v/>
      </c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8" t="n"/>
      <c r="M220" s="26">
        <f>IF(OR(L220="",AND(E220&lt;&gt;"Up",E220&lt;&gt;"Down")),"",IF(OR(L220="In line",L220="Mixed"),"Neutral data",IF(OR(AND(L220="Hotter",E220="Down"),AND(L220="Cooler",E220="Up")),"With data","Against data")))</f>
        <v/>
      </c>
      <c r="N220" s="28" t="n"/>
      <c r="O220" s="27" t="n"/>
      <c r="P220" s="27" t="n"/>
      <c r="Q220" s="28" t="n"/>
      <c r="R220" s="27" t="n"/>
      <c r="S220" s="29" t="n"/>
      <c r="T220" s="27" t="n"/>
      <c r="U220" s="27" t="n"/>
      <c r="V220" s="26">
        <f>IF(OR(AND(E220&lt;&gt;"Up",E220&lt;&gt;"Down"),NOT(ISNUMBER(S220)),IF(E220="Up",Q220,R220)=""),"",IF(S220&gt;=100,"Back to open",IF(OR(IF(E220="Up",Q220,R220)="1-5 min",IF(E220="Up",Q220,R220)="5-15 min"),"Continued",IF(S220&gt;=50,"Partial retrace","Stalled / chop"))))</f>
        <v/>
      </c>
      <c r="W220" s="26">
        <f>IF(OR(Q220="",R220=""),"",IFERROR(IF(AND(Q220="Not by 16:00",R220="Not by 16:00"),"Neither taken",IF(FIND("|"&amp;Q220&amp;"|","|1-5 min|5-15 min|15-60 min|9:30-11:00|11:00-16:00|Not by 16:00|")=FIND("|"&amp;R220&amp;"|","|1-5 min|5-15 min|15-60 min|9:30-11:00|11:00-16:00|Not by 16:00|"),"Same window",IF(FIND("|"&amp;Q220&amp;"|","|1-5 min|5-15 min|15-60 min|9:30-11:00|11:00-16:00|Not by 16:00|")&lt;FIND("|"&amp;R220&amp;"|","|1-5 min|5-15 min|15-60 min|9:30-11:00|11:00-16:00|Not by 16:00|"),IF(E220="Up","High first (main side)",IF(E220="Down","High first (wick side)","High first")),IF(E220="Down","Low first (main side)",IF(E220="Up","Low first (wick side)","Low first"))))),"Check entries"))</f>
        <v/>
      </c>
      <c r="X220" s="28" t="n"/>
      <c r="Y220" s="27" t="n"/>
      <c r="Z220" s="27" t="n"/>
      <c r="AA220" s="27" t="n"/>
      <c r="AB220" s="27" t="n"/>
      <c r="AC220" s="27" t="n"/>
      <c r="AD220" s="27" t="n"/>
      <c r="AE220" s="28" t="n"/>
      <c r="AF220" s="30" t="n"/>
      <c r="AG220" s="27" t="n"/>
    </row>
    <row r="221">
      <c r="A221" s="25" t="n"/>
      <c r="B221" s="26">
        <f>IF(ISNUMBER(A221),TEXT(A221,"ddd"),"")</f>
        <v/>
      </c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8" t="n"/>
      <c r="M221" s="26">
        <f>IF(OR(L221="",AND(E221&lt;&gt;"Up",E221&lt;&gt;"Down")),"",IF(OR(L221="In line",L221="Mixed"),"Neutral data",IF(OR(AND(L221="Hotter",E221="Down"),AND(L221="Cooler",E221="Up")),"With data","Against data")))</f>
        <v/>
      </c>
      <c r="N221" s="28" t="n"/>
      <c r="O221" s="27" t="n"/>
      <c r="P221" s="27" t="n"/>
      <c r="Q221" s="28" t="n"/>
      <c r="R221" s="27" t="n"/>
      <c r="S221" s="29" t="n"/>
      <c r="T221" s="27" t="n"/>
      <c r="U221" s="27" t="n"/>
      <c r="V221" s="26">
        <f>IF(OR(AND(E221&lt;&gt;"Up",E221&lt;&gt;"Down"),NOT(ISNUMBER(S221)),IF(E221="Up",Q221,R221)=""),"",IF(S221&gt;=100,"Back to open",IF(OR(IF(E221="Up",Q221,R221)="1-5 min",IF(E221="Up",Q221,R221)="5-15 min"),"Continued",IF(S221&gt;=50,"Partial retrace","Stalled / chop"))))</f>
        <v/>
      </c>
      <c r="W221" s="26">
        <f>IF(OR(Q221="",R221=""),"",IFERROR(IF(AND(Q221="Not by 16:00",R221="Not by 16:00"),"Neither taken",IF(FIND("|"&amp;Q221&amp;"|","|1-5 min|5-15 min|15-60 min|9:30-11:00|11:00-16:00|Not by 16:00|")=FIND("|"&amp;R221&amp;"|","|1-5 min|5-15 min|15-60 min|9:30-11:00|11:00-16:00|Not by 16:00|"),"Same window",IF(FIND("|"&amp;Q221&amp;"|","|1-5 min|5-15 min|15-60 min|9:30-11:00|11:00-16:00|Not by 16:00|")&lt;FIND("|"&amp;R221&amp;"|","|1-5 min|5-15 min|15-60 min|9:30-11:00|11:00-16:00|Not by 16:00|"),IF(E221="Up","High first (main side)",IF(E221="Down","High first (wick side)","High first")),IF(E221="Down","Low first (main side)",IF(E221="Up","Low first (wick side)","Low first"))))),"Check entries"))</f>
        <v/>
      </c>
      <c r="X221" s="28" t="n"/>
      <c r="Y221" s="27" t="n"/>
      <c r="Z221" s="27" t="n"/>
      <c r="AA221" s="27" t="n"/>
      <c r="AB221" s="27" t="n"/>
      <c r="AC221" s="27" t="n"/>
      <c r="AD221" s="27" t="n"/>
      <c r="AE221" s="28" t="n"/>
      <c r="AF221" s="30" t="n"/>
      <c r="AG221" s="27" t="n"/>
    </row>
    <row r="222">
      <c r="A222" s="25" t="n"/>
      <c r="B222" s="26">
        <f>IF(ISNUMBER(A222),TEXT(A222,"ddd"),"")</f>
        <v/>
      </c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8" t="n"/>
      <c r="M222" s="26">
        <f>IF(OR(L222="",AND(E222&lt;&gt;"Up",E222&lt;&gt;"Down")),"",IF(OR(L222="In line",L222="Mixed"),"Neutral data",IF(OR(AND(L222="Hotter",E222="Down"),AND(L222="Cooler",E222="Up")),"With data","Against data")))</f>
        <v/>
      </c>
      <c r="N222" s="28" t="n"/>
      <c r="O222" s="27" t="n"/>
      <c r="P222" s="27" t="n"/>
      <c r="Q222" s="28" t="n"/>
      <c r="R222" s="27" t="n"/>
      <c r="S222" s="29" t="n"/>
      <c r="T222" s="27" t="n"/>
      <c r="U222" s="27" t="n"/>
      <c r="V222" s="26">
        <f>IF(OR(AND(E222&lt;&gt;"Up",E222&lt;&gt;"Down"),NOT(ISNUMBER(S222)),IF(E222="Up",Q222,R222)=""),"",IF(S222&gt;=100,"Back to open",IF(OR(IF(E222="Up",Q222,R222)="1-5 min",IF(E222="Up",Q222,R222)="5-15 min"),"Continued",IF(S222&gt;=50,"Partial retrace","Stalled / chop"))))</f>
        <v/>
      </c>
      <c r="W222" s="26">
        <f>IF(OR(Q222="",R222=""),"",IFERROR(IF(AND(Q222="Not by 16:00",R222="Not by 16:00"),"Neither taken",IF(FIND("|"&amp;Q222&amp;"|","|1-5 min|5-15 min|15-60 min|9:30-11:00|11:00-16:00|Not by 16:00|")=FIND("|"&amp;R222&amp;"|","|1-5 min|5-15 min|15-60 min|9:30-11:00|11:00-16:00|Not by 16:00|"),"Same window",IF(FIND("|"&amp;Q222&amp;"|","|1-5 min|5-15 min|15-60 min|9:30-11:00|11:00-16:00|Not by 16:00|")&lt;FIND("|"&amp;R222&amp;"|","|1-5 min|5-15 min|15-60 min|9:30-11:00|11:00-16:00|Not by 16:00|"),IF(E222="Up","High first (main side)",IF(E222="Down","High first (wick side)","High first")),IF(E222="Down","Low first (main side)",IF(E222="Up","Low first (wick side)","Low first"))))),"Check entries"))</f>
        <v/>
      </c>
      <c r="X222" s="28" t="n"/>
      <c r="Y222" s="27" t="n"/>
      <c r="Z222" s="27" t="n"/>
      <c r="AA222" s="27" t="n"/>
      <c r="AB222" s="27" t="n"/>
      <c r="AC222" s="27" t="n"/>
      <c r="AD222" s="27" t="n"/>
      <c r="AE222" s="28" t="n"/>
      <c r="AF222" s="30" t="n"/>
      <c r="AG222" s="27" t="n"/>
    </row>
    <row r="223">
      <c r="A223" s="25" t="n"/>
      <c r="B223" s="26">
        <f>IF(ISNUMBER(A223),TEXT(A223,"ddd"),"")</f>
        <v/>
      </c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8" t="n"/>
      <c r="M223" s="26">
        <f>IF(OR(L223="",AND(E223&lt;&gt;"Up",E223&lt;&gt;"Down")),"",IF(OR(L223="In line",L223="Mixed"),"Neutral data",IF(OR(AND(L223="Hotter",E223="Down"),AND(L223="Cooler",E223="Up")),"With data","Against data")))</f>
        <v/>
      </c>
      <c r="N223" s="28" t="n"/>
      <c r="O223" s="27" t="n"/>
      <c r="P223" s="27" t="n"/>
      <c r="Q223" s="28" t="n"/>
      <c r="R223" s="27" t="n"/>
      <c r="S223" s="29" t="n"/>
      <c r="T223" s="27" t="n"/>
      <c r="U223" s="27" t="n"/>
      <c r="V223" s="26">
        <f>IF(OR(AND(E223&lt;&gt;"Up",E223&lt;&gt;"Down"),NOT(ISNUMBER(S223)),IF(E223="Up",Q223,R223)=""),"",IF(S223&gt;=100,"Back to open",IF(OR(IF(E223="Up",Q223,R223)="1-5 min",IF(E223="Up",Q223,R223)="5-15 min"),"Continued",IF(S223&gt;=50,"Partial retrace","Stalled / chop"))))</f>
        <v/>
      </c>
      <c r="W223" s="26">
        <f>IF(OR(Q223="",R223=""),"",IFERROR(IF(AND(Q223="Not by 16:00",R223="Not by 16:00"),"Neither taken",IF(FIND("|"&amp;Q223&amp;"|","|1-5 min|5-15 min|15-60 min|9:30-11:00|11:00-16:00|Not by 16:00|")=FIND("|"&amp;R223&amp;"|","|1-5 min|5-15 min|15-60 min|9:30-11:00|11:00-16:00|Not by 16:00|"),"Same window",IF(FIND("|"&amp;Q223&amp;"|","|1-5 min|5-15 min|15-60 min|9:30-11:00|11:00-16:00|Not by 16:00|")&lt;FIND("|"&amp;R223&amp;"|","|1-5 min|5-15 min|15-60 min|9:30-11:00|11:00-16:00|Not by 16:00|"),IF(E223="Up","High first (main side)",IF(E223="Down","High first (wick side)","High first")),IF(E223="Down","Low first (main side)",IF(E223="Up","Low first (wick side)","Low first"))))),"Check entries"))</f>
        <v/>
      </c>
      <c r="X223" s="28" t="n"/>
      <c r="Y223" s="27" t="n"/>
      <c r="Z223" s="27" t="n"/>
      <c r="AA223" s="27" t="n"/>
      <c r="AB223" s="27" t="n"/>
      <c r="AC223" s="27" t="n"/>
      <c r="AD223" s="27" t="n"/>
      <c r="AE223" s="28" t="n"/>
      <c r="AF223" s="30" t="n"/>
      <c r="AG223" s="27" t="n"/>
    </row>
    <row r="224">
      <c r="A224" s="25" t="n"/>
      <c r="B224" s="26">
        <f>IF(ISNUMBER(A224),TEXT(A224,"ddd"),"")</f>
        <v/>
      </c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8" t="n"/>
      <c r="M224" s="26">
        <f>IF(OR(L224="",AND(E224&lt;&gt;"Up",E224&lt;&gt;"Down")),"",IF(OR(L224="In line",L224="Mixed"),"Neutral data",IF(OR(AND(L224="Hotter",E224="Down"),AND(L224="Cooler",E224="Up")),"With data","Against data")))</f>
        <v/>
      </c>
      <c r="N224" s="28" t="n"/>
      <c r="O224" s="27" t="n"/>
      <c r="P224" s="27" t="n"/>
      <c r="Q224" s="28" t="n"/>
      <c r="R224" s="27" t="n"/>
      <c r="S224" s="29" t="n"/>
      <c r="T224" s="27" t="n"/>
      <c r="U224" s="27" t="n"/>
      <c r="V224" s="26">
        <f>IF(OR(AND(E224&lt;&gt;"Up",E224&lt;&gt;"Down"),NOT(ISNUMBER(S224)),IF(E224="Up",Q224,R224)=""),"",IF(S224&gt;=100,"Back to open",IF(OR(IF(E224="Up",Q224,R224)="1-5 min",IF(E224="Up",Q224,R224)="5-15 min"),"Continued",IF(S224&gt;=50,"Partial retrace","Stalled / chop"))))</f>
        <v/>
      </c>
      <c r="W224" s="26">
        <f>IF(OR(Q224="",R224=""),"",IFERROR(IF(AND(Q224="Not by 16:00",R224="Not by 16:00"),"Neither taken",IF(FIND("|"&amp;Q224&amp;"|","|1-5 min|5-15 min|15-60 min|9:30-11:00|11:00-16:00|Not by 16:00|")=FIND("|"&amp;R224&amp;"|","|1-5 min|5-15 min|15-60 min|9:30-11:00|11:00-16:00|Not by 16:00|"),"Same window",IF(FIND("|"&amp;Q224&amp;"|","|1-5 min|5-15 min|15-60 min|9:30-11:00|11:00-16:00|Not by 16:00|")&lt;FIND("|"&amp;R224&amp;"|","|1-5 min|5-15 min|15-60 min|9:30-11:00|11:00-16:00|Not by 16:00|"),IF(E224="Up","High first (main side)",IF(E224="Down","High first (wick side)","High first")),IF(E224="Down","Low first (main side)",IF(E224="Up","Low first (wick side)","Low first"))))),"Check entries"))</f>
        <v/>
      </c>
      <c r="X224" s="28" t="n"/>
      <c r="Y224" s="27" t="n"/>
      <c r="Z224" s="27" t="n"/>
      <c r="AA224" s="27" t="n"/>
      <c r="AB224" s="27" t="n"/>
      <c r="AC224" s="27" t="n"/>
      <c r="AD224" s="27" t="n"/>
      <c r="AE224" s="28" t="n"/>
      <c r="AF224" s="30" t="n"/>
      <c r="AG224" s="27" t="n"/>
    </row>
    <row r="225">
      <c r="A225" s="25" t="n"/>
      <c r="B225" s="26">
        <f>IF(ISNUMBER(A225),TEXT(A225,"ddd"),"")</f>
        <v/>
      </c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8" t="n"/>
      <c r="M225" s="26">
        <f>IF(OR(L225="",AND(E225&lt;&gt;"Up",E225&lt;&gt;"Down")),"",IF(OR(L225="In line",L225="Mixed"),"Neutral data",IF(OR(AND(L225="Hotter",E225="Down"),AND(L225="Cooler",E225="Up")),"With data","Against data")))</f>
        <v/>
      </c>
      <c r="N225" s="28" t="n"/>
      <c r="O225" s="27" t="n"/>
      <c r="P225" s="27" t="n"/>
      <c r="Q225" s="28" t="n"/>
      <c r="R225" s="27" t="n"/>
      <c r="S225" s="29" t="n"/>
      <c r="T225" s="27" t="n"/>
      <c r="U225" s="27" t="n"/>
      <c r="V225" s="26">
        <f>IF(OR(AND(E225&lt;&gt;"Up",E225&lt;&gt;"Down"),NOT(ISNUMBER(S225)),IF(E225="Up",Q225,R225)=""),"",IF(S225&gt;=100,"Back to open",IF(OR(IF(E225="Up",Q225,R225)="1-5 min",IF(E225="Up",Q225,R225)="5-15 min"),"Continued",IF(S225&gt;=50,"Partial retrace","Stalled / chop"))))</f>
        <v/>
      </c>
      <c r="W225" s="26">
        <f>IF(OR(Q225="",R225=""),"",IFERROR(IF(AND(Q225="Not by 16:00",R225="Not by 16:00"),"Neither taken",IF(FIND("|"&amp;Q225&amp;"|","|1-5 min|5-15 min|15-60 min|9:30-11:00|11:00-16:00|Not by 16:00|")=FIND("|"&amp;R225&amp;"|","|1-5 min|5-15 min|15-60 min|9:30-11:00|11:00-16:00|Not by 16:00|"),"Same window",IF(FIND("|"&amp;Q225&amp;"|","|1-5 min|5-15 min|15-60 min|9:30-11:00|11:00-16:00|Not by 16:00|")&lt;FIND("|"&amp;R225&amp;"|","|1-5 min|5-15 min|15-60 min|9:30-11:00|11:00-16:00|Not by 16:00|"),IF(E225="Up","High first (main side)",IF(E225="Down","High first (wick side)","High first")),IF(E225="Down","Low first (main side)",IF(E225="Up","Low first (wick side)","Low first"))))),"Check entries"))</f>
        <v/>
      </c>
      <c r="X225" s="28" t="n"/>
      <c r="Y225" s="27" t="n"/>
      <c r="Z225" s="27" t="n"/>
      <c r="AA225" s="27" t="n"/>
      <c r="AB225" s="27" t="n"/>
      <c r="AC225" s="27" t="n"/>
      <c r="AD225" s="27" t="n"/>
      <c r="AE225" s="28" t="n"/>
      <c r="AF225" s="30" t="n"/>
      <c r="AG225" s="27" t="n"/>
    </row>
    <row r="226">
      <c r="A226" s="25" t="n"/>
      <c r="B226" s="26">
        <f>IF(ISNUMBER(A226),TEXT(A226,"ddd"),"")</f>
        <v/>
      </c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8" t="n"/>
      <c r="M226" s="26">
        <f>IF(OR(L226="",AND(E226&lt;&gt;"Up",E226&lt;&gt;"Down")),"",IF(OR(L226="In line",L226="Mixed"),"Neutral data",IF(OR(AND(L226="Hotter",E226="Down"),AND(L226="Cooler",E226="Up")),"With data","Against data")))</f>
        <v/>
      </c>
      <c r="N226" s="28" t="n"/>
      <c r="O226" s="27" t="n"/>
      <c r="P226" s="27" t="n"/>
      <c r="Q226" s="28" t="n"/>
      <c r="R226" s="27" t="n"/>
      <c r="S226" s="29" t="n"/>
      <c r="T226" s="27" t="n"/>
      <c r="U226" s="27" t="n"/>
      <c r="V226" s="26">
        <f>IF(OR(AND(E226&lt;&gt;"Up",E226&lt;&gt;"Down"),NOT(ISNUMBER(S226)),IF(E226="Up",Q226,R226)=""),"",IF(S226&gt;=100,"Back to open",IF(OR(IF(E226="Up",Q226,R226)="1-5 min",IF(E226="Up",Q226,R226)="5-15 min"),"Continued",IF(S226&gt;=50,"Partial retrace","Stalled / chop"))))</f>
        <v/>
      </c>
      <c r="W226" s="26">
        <f>IF(OR(Q226="",R226=""),"",IFERROR(IF(AND(Q226="Not by 16:00",R226="Not by 16:00"),"Neither taken",IF(FIND("|"&amp;Q226&amp;"|","|1-5 min|5-15 min|15-60 min|9:30-11:00|11:00-16:00|Not by 16:00|")=FIND("|"&amp;R226&amp;"|","|1-5 min|5-15 min|15-60 min|9:30-11:00|11:00-16:00|Not by 16:00|"),"Same window",IF(FIND("|"&amp;Q226&amp;"|","|1-5 min|5-15 min|15-60 min|9:30-11:00|11:00-16:00|Not by 16:00|")&lt;FIND("|"&amp;R226&amp;"|","|1-5 min|5-15 min|15-60 min|9:30-11:00|11:00-16:00|Not by 16:00|"),IF(E226="Up","High first (main side)",IF(E226="Down","High first (wick side)","High first")),IF(E226="Down","Low first (main side)",IF(E226="Up","Low first (wick side)","Low first"))))),"Check entries"))</f>
        <v/>
      </c>
      <c r="X226" s="28" t="n"/>
      <c r="Y226" s="27" t="n"/>
      <c r="Z226" s="27" t="n"/>
      <c r="AA226" s="27" t="n"/>
      <c r="AB226" s="27" t="n"/>
      <c r="AC226" s="27" t="n"/>
      <c r="AD226" s="27" t="n"/>
      <c r="AE226" s="28" t="n"/>
      <c r="AF226" s="30" t="n"/>
      <c r="AG226" s="27" t="n"/>
    </row>
    <row r="227">
      <c r="A227" s="25" t="n"/>
      <c r="B227" s="26">
        <f>IF(ISNUMBER(A227),TEXT(A227,"ddd"),"")</f>
        <v/>
      </c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8" t="n"/>
      <c r="M227" s="26">
        <f>IF(OR(L227="",AND(E227&lt;&gt;"Up",E227&lt;&gt;"Down")),"",IF(OR(L227="In line",L227="Mixed"),"Neutral data",IF(OR(AND(L227="Hotter",E227="Down"),AND(L227="Cooler",E227="Up")),"With data","Against data")))</f>
        <v/>
      </c>
      <c r="N227" s="28" t="n"/>
      <c r="O227" s="27" t="n"/>
      <c r="P227" s="27" t="n"/>
      <c r="Q227" s="28" t="n"/>
      <c r="R227" s="27" t="n"/>
      <c r="S227" s="29" t="n"/>
      <c r="T227" s="27" t="n"/>
      <c r="U227" s="27" t="n"/>
      <c r="V227" s="26">
        <f>IF(OR(AND(E227&lt;&gt;"Up",E227&lt;&gt;"Down"),NOT(ISNUMBER(S227)),IF(E227="Up",Q227,R227)=""),"",IF(S227&gt;=100,"Back to open",IF(OR(IF(E227="Up",Q227,R227)="1-5 min",IF(E227="Up",Q227,R227)="5-15 min"),"Continued",IF(S227&gt;=50,"Partial retrace","Stalled / chop"))))</f>
        <v/>
      </c>
      <c r="W227" s="26">
        <f>IF(OR(Q227="",R227=""),"",IFERROR(IF(AND(Q227="Not by 16:00",R227="Not by 16:00"),"Neither taken",IF(FIND("|"&amp;Q227&amp;"|","|1-5 min|5-15 min|15-60 min|9:30-11:00|11:00-16:00|Not by 16:00|")=FIND("|"&amp;R227&amp;"|","|1-5 min|5-15 min|15-60 min|9:30-11:00|11:00-16:00|Not by 16:00|"),"Same window",IF(FIND("|"&amp;Q227&amp;"|","|1-5 min|5-15 min|15-60 min|9:30-11:00|11:00-16:00|Not by 16:00|")&lt;FIND("|"&amp;R227&amp;"|","|1-5 min|5-15 min|15-60 min|9:30-11:00|11:00-16:00|Not by 16:00|"),IF(E227="Up","High first (main side)",IF(E227="Down","High first (wick side)","High first")),IF(E227="Down","Low first (main side)",IF(E227="Up","Low first (wick side)","Low first"))))),"Check entries"))</f>
        <v/>
      </c>
      <c r="X227" s="28" t="n"/>
      <c r="Y227" s="27" t="n"/>
      <c r="Z227" s="27" t="n"/>
      <c r="AA227" s="27" t="n"/>
      <c r="AB227" s="27" t="n"/>
      <c r="AC227" s="27" t="n"/>
      <c r="AD227" s="27" t="n"/>
      <c r="AE227" s="28" t="n"/>
      <c r="AF227" s="30" t="n"/>
      <c r="AG227" s="27" t="n"/>
    </row>
    <row r="228">
      <c r="A228" s="25" t="n"/>
      <c r="B228" s="26">
        <f>IF(ISNUMBER(A228),TEXT(A228,"ddd"),"")</f>
        <v/>
      </c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8" t="n"/>
      <c r="M228" s="26">
        <f>IF(OR(L228="",AND(E228&lt;&gt;"Up",E228&lt;&gt;"Down")),"",IF(OR(L228="In line",L228="Mixed"),"Neutral data",IF(OR(AND(L228="Hotter",E228="Down"),AND(L228="Cooler",E228="Up")),"With data","Against data")))</f>
        <v/>
      </c>
      <c r="N228" s="28" t="n"/>
      <c r="O228" s="27" t="n"/>
      <c r="P228" s="27" t="n"/>
      <c r="Q228" s="28" t="n"/>
      <c r="R228" s="27" t="n"/>
      <c r="S228" s="29" t="n"/>
      <c r="T228" s="27" t="n"/>
      <c r="U228" s="27" t="n"/>
      <c r="V228" s="26">
        <f>IF(OR(AND(E228&lt;&gt;"Up",E228&lt;&gt;"Down"),NOT(ISNUMBER(S228)),IF(E228="Up",Q228,R228)=""),"",IF(S228&gt;=100,"Back to open",IF(OR(IF(E228="Up",Q228,R228)="1-5 min",IF(E228="Up",Q228,R228)="5-15 min"),"Continued",IF(S228&gt;=50,"Partial retrace","Stalled / chop"))))</f>
        <v/>
      </c>
      <c r="W228" s="26">
        <f>IF(OR(Q228="",R228=""),"",IFERROR(IF(AND(Q228="Not by 16:00",R228="Not by 16:00"),"Neither taken",IF(FIND("|"&amp;Q228&amp;"|","|1-5 min|5-15 min|15-60 min|9:30-11:00|11:00-16:00|Not by 16:00|")=FIND("|"&amp;R228&amp;"|","|1-5 min|5-15 min|15-60 min|9:30-11:00|11:00-16:00|Not by 16:00|"),"Same window",IF(FIND("|"&amp;Q228&amp;"|","|1-5 min|5-15 min|15-60 min|9:30-11:00|11:00-16:00|Not by 16:00|")&lt;FIND("|"&amp;R228&amp;"|","|1-5 min|5-15 min|15-60 min|9:30-11:00|11:00-16:00|Not by 16:00|"),IF(E228="Up","High first (main side)",IF(E228="Down","High first (wick side)","High first")),IF(E228="Down","Low first (main side)",IF(E228="Up","Low first (wick side)","Low first"))))),"Check entries"))</f>
        <v/>
      </c>
      <c r="X228" s="28" t="n"/>
      <c r="Y228" s="27" t="n"/>
      <c r="Z228" s="27" t="n"/>
      <c r="AA228" s="27" t="n"/>
      <c r="AB228" s="27" t="n"/>
      <c r="AC228" s="27" t="n"/>
      <c r="AD228" s="27" t="n"/>
      <c r="AE228" s="28" t="n"/>
      <c r="AF228" s="30" t="n"/>
      <c r="AG228" s="27" t="n"/>
    </row>
    <row r="229">
      <c r="A229" s="25" t="n"/>
      <c r="B229" s="26">
        <f>IF(ISNUMBER(A229),TEXT(A229,"ddd"),"")</f>
        <v/>
      </c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8" t="n"/>
      <c r="M229" s="26">
        <f>IF(OR(L229="",AND(E229&lt;&gt;"Up",E229&lt;&gt;"Down")),"",IF(OR(L229="In line",L229="Mixed"),"Neutral data",IF(OR(AND(L229="Hotter",E229="Down"),AND(L229="Cooler",E229="Up")),"With data","Against data")))</f>
        <v/>
      </c>
      <c r="N229" s="28" t="n"/>
      <c r="O229" s="27" t="n"/>
      <c r="P229" s="27" t="n"/>
      <c r="Q229" s="28" t="n"/>
      <c r="R229" s="27" t="n"/>
      <c r="S229" s="29" t="n"/>
      <c r="T229" s="27" t="n"/>
      <c r="U229" s="27" t="n"/>
      <c r="V229" s="26">
        <f>IF(OR(AND(E229&lt;&gt;"Up",E229&lt;&gt;"Down"),NOT(ISNUMBER(S229)),IF(E229="Up",Q229,R229)=""),"",IF(S229&gt;=100,"Back to open",IF(OR(IF(E229="Up",Q229,R229)="1-5 min",IF(E229="Up",Q229,R229)="5-15 min"),"Continued",IF(S229&gt;=50,"Partial retrace","Stalled / chop"))))</f>
        <v/>
      </c>
      <c r="W229" s="26">
        <f>IF(OR(Q229="",R229=""),"",IFERROR(IF(AND(Q229="Not by 16:00",R229="Not by 16:00"),"Neither taken",IF(FIND("|"&amp;Q229&amp;"|","|1-5 min|5-15 min|15-60 min|9:30-11:00|11:00-16:00|Not by 16:00|")=FIND("|"&amp;R229&amp;"|","|1-5 min|5-15 min|15-60 min|9:30-11:00|11:00-16:00|Not by 16:00|"),"Same window",IF(FIND("|"&amp;Q229&amp;"|","|1-5 min|5-15 min|15-60 min|9:30-11:00|11:00-16:00|Not by 16:00|")&lt;FIND("|"&amp;R229&amp;"|","|1-5 min|5-15 min|15-60 min|9:30-11:00|11:00-16:00|Not by 16:00|"),IF(E229="Up","High first (main side)",IF(E229="Down","High first (wick side)","High first")),IF(E229="Down","Low first (main side)",IF(E229="Up","Low first (wick side)","Low first"))))),"Check entries"))</f>
        <v/>
      </c>
      <c r="X229" s="28" t="n"/>
      <c r="Y229" s="27" t="n"/>
      <c r="Z229" s="27" t="n"/>
      <c r="AA229" s="27" t="n"/>
      <c r="AB229" s="27" t="n"/>
      <c r="AC229" s="27" t="n"/>
      <c r="AD229" s="27" t="n"/>
      <c r="AE229" s="28" t="n"/>
      <c r="AF229" s="30" t="n"/>
      <c r="AG229" s="27" t="n"/>
    </row>
    <row r="230">
      <c r="A230" s="25" t="n"/>
      <c r="B230" s="26">
        <f>IF(ISNUMBER(A230),TEXT(A230,"ddd"),"")</f>
        <v/>
      </c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8" t="n"/>
      <c r="M230" s="26">
        <f>IF(OR(L230="",AND(E230&lt;&gt;"Up",E230&lt;&gt;"Down")),"",IF(OR(L230="In line",L230="Mixed"),"Neutral data",IF(OR(AND(L230="Hotter",E230="Down"),AND(L230="Cooler",E230="Up")),"With data","Against data")))</f>
        <v/>
      </c>
      <c r="N230" s="28" t="n"/>
      <c r="O230" s="27" t="n"/>
      <c r="P230" s="27" t="n"/>
      <c r="Q230" s="28" t="n"/>
      <c r="R230" s="27" t="n"/>
      <c r="S230" s="29" t="n"/>
      <c r="T230" s="27" t="n"/>
      <c r="U230" s="27" t="n"/>
      <c r="V230" s="26">
        <f>IF(OR(AND(E230&lt;&gt;"Up",E230&lt;&gt;"Down"),NOT(ISNUMBER(S230)),IF(E230="Up",Q230,R230)=""),"",IF(S230&gt;=100,"Back to open",IF(OR(IF(E230="Up",Q230,R230)="1-5 min",IF(E230="Up",Q230,R230)="5-15 min"),"Continued",IF(S230&gt;=50,"Partial retrace","Stalled / chop"))))</f>
        <v/>
      </c>
      <c r="W230" s="26">
        <f>IF(OR(Q230="",R230=""),"",IFERROR(IF(AND(Q230="Not by 16:00",R230="Not by 16:00"),"Neither taken",IF(FIND("|"&amp;Q230&amp;"|","|1-5 min|5-15 min|15-60 min|9:30-11:00|11:00-16:00|Not by 16:00|")=FIND("|"&amp;R230&amp;"|","|1-5 min|5-15 min|15-60 min|9:30-11:00|11:00-16:00|Not by 16:00|"),"Same window",IF(FIND("|"&amp;Q230&amp;"|","|1-5 min|5-15 min|15-60 min|9:30-11:00|11:00-16:00|Not by 16:00|")&lt;FIND("|"&amp;R230&amp;"|","|1-5 min|5-15 min|15-60 min|9:30-11:00|11:00-16:00|Not by 16:00|"),IF(E230="Up","High first (main side)",IF(E230="Down","High first (wick side)","High first")),IF(E230="Down","Low first (main side)",IF(E230="Up","Low first (wick side)","Low first"))))),"Check entries"))</f>
        <v/>
      </c>
      <c r="X230" s="28" t="n"/>
      <c r="Y230" s="27" t="n"/>
      <c r="Z230" s="27" t="n"/>
      <c r="AA230" s="27" t="n"/>
      <c r="AB230" s="27" t="n"/>
      <c r="AC230" s="27" t="n"/>
      <c r="AD230" s="27" t="n"/>
      <c r="AE230" s="28" t="n"/>
      <c r="AF230" s="30" t="n"/>
      <c r="AG230" s="27" t="n"/>
    </row>
    <row r="231">
      <c r="A231" s="25" t="n"/>
      <c r="B231" s="26">
        <f>IF(ISNUMBER(A231),TEXT(A231,"ddd"),"")</f>
        <v/>
      </c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8" t="n"/>
      <c r="M231" s="26">
        <f>IF(OR(L231="",AND(E231&lt;&gt;"Up",E231&lt;&gt;"Down")),"",IF(OR(L231="In line",L231="Mixed"),"Neutral data",IF(OR(AND(L231="Hotter",E231="Down"),AND(L231="Cooler",E231="Up")),"With data","Against data")))</f>
        <v/>
      </c>
      <c r="N231" s="28" t="n"/>
      <c r="O231" s="27" t="n"/>
      <c r="P231" s="27" t="n"/>
      <c r="Q231" s="28" t="n"/>
      <c r="R231" s="27" t="n"/>
      <c r="S231" s="29" t="n"/>
      <c r="T231" s="27" t="n"/>
      <c r="U231" s="27" t="n"/>
      <c r="V231" s="26">
        <f>IF(OR(AND(E231&lt;&gt;"Up",E231&lt;&gt;"Down"),NOT(ISNUMBER(S231)),IF(E231="Up",Q231,R231)=""),"",IF(S231&gt;=100,"Back to open",IF(OR(IF(E231="Up",Q231,R231)="1-5 min",IF(E231="Up",Q231,R231)="5-15 min"),"Continued",IF(S231&gt;=50,"Partial retrace","Stalled / chop"))))</f>
        <v/>
      </c>
      <c r="W231" s="26">
        <f>IF(OR(Q231="",R231=""),"",IFERROR(IF(AND(Q231="Not by 16:00",R231="Not by 16:00"),"Neither taken",IF(FIND("|"&amp;Q231&amp;"|","|1-5 min|5-15 min|15-60 min|9:30-11:00|11:00-16:00|Not by 16:00|")=FIND("|"&amp;R231&amp;"|","|1-5 min|5-15 min|15-60 min|9:30-11:00|11:00-16:00|Not by 16:00|"),"Same window",IF(FIND("|"&amp;Q231&amp;"|","|1-5 min|5-15 min|15-60 min|9:30-11:00|11:00-16:00|Not by 16:00|")&lt;FIND("|"&amp;R231&amp;"|","|1-5 min|5-15 min|15-60 min|9:30-11:00|11:00-16:00|Not by 16:00|"),IF(E231="Up","High first (main side)",IF(E231="Down","High first (wick side)","High first")),IF(E231="Down","Low first (main side)",IF(E231="Up","Low first (wick side)","Low first"))))),"Check entries"))</f>
        <v/>
      </c>
      <c r="X231" s="28" t="n"/>
      <c r="Y231" s="27" t="n"/>
      <c r="Z231" s="27" t="n"/>
      <c r="AA231" s="27" t="n"/>
      <c r="AB231" s="27" t="n"/>
      <c r="AC231" s="27" t="n"/>
      <c r="AD231" s="27" t="n"/>
      <c r="AE231" s="28" t="n"/>
      <c r="AF231" s="30" t="n"/>
      <c r="AG231" s="27" t="n"/>
    </row>
    <row r="232">
      <c r="A232" s="25" t="n"/>
      <c r="B232" s="26">
        <f>IF(ISNUMBER(A232),TEXT(A232,"ddd"),"")</f>
        <v/>
      </c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8" t="n"/>
      <c r="M232" s="26">
        <f>IF(OR(L232="",AND(E232&lt;&gt;"Up",E232&lt;&gt;"Down")),"",IF(OR(L232="In line",L232="Mixed"),"Neutral data",IF(OR(AND(L232="Hotter",E232="Down"),AND(L232="Cooler",E232="Up")),"With data","Against data")))</f>
        <v/>
      </c>
      <c r="N232" s="28" t="n"/>
      <c r="O232" s="27" t="n"/>
      <c r="P232" s="27" t="n"/>
      <c r="Q232" s="28" t="n"/>
      <c r="R232" s="27" t="n"/>
      <c r="S232" s="29" t="n"/>
      <c r="T232" s="27" t="n"/>
      <c r="U232" s="27" t="n"/>
      <c r="V232" s="26">
        <f>IF(OR(AND(E232&lt;&gt;"Up",E232&lt;&gt;"Down"),NOT(ISNUMBER(S232)),IF(E232="Up",Q232,R232)=""),"",IF(S232&gt;=100,"Back to open",IF(OR(IF(E232="Up",Q232,R232)="1-5 min",IF(E232="Up",Q232,R232)="5-15 min"),"Continued",IF(S232&gt;=50,"Partial retrace","Stalled / chop"))))</f>
        <v/>
      </c>
      <c r="W232" s="26">
        <f>IF(OR(Q232="",R232=""),"",IFERROR(IF(AND(Q232="Not by 16:00",R232="Not by 16:00"),"Neither taken",IF(FIND("|"&amp;Q232&amp;"|","|1-5 min|5-15 min|15-60 min|9:30-11:00|11:00-16:00|Not by 16:00|")=FIND("|"&amp;R232&amp;"|","|1-5 min|5-15 min|15-60 min|9:30-11:00|11:00-16:00|Not by 16:00|"),"Same window",IF(FIND("|"&amp;Q232&amp;"|","|1-5 min|5-15 min|15-60 min|9:30-11:00|11:00-16:00|Not by 16:00|")&lt;FIND("|"&amp;R232&amp;"|","|1-5 min|5-15 min|15-60 min|9:30-11:00|11:00-16:00|Not by 16:00|"),IF(E232="Up","High first (main side)",IF(E232="Down","High first (wick side)","High first")),IF(E232="Down","Low first (main side)",IF(E232="Up","Low first (wick side)","Low first"))))),"Check entries"))</f>
        <v/>
      </c>
      <c r="X232" s="28" t="n"/>
      <c r="Y232" s="27" t="n"/>
      <c r="Z232" s="27" t="n"/>
      <c r="AA232" s="27" t="n"/>
      <c r="AB232" s="27" t="n"/>
      <c r="AC232" s="27" t="n"/>
      <c r="AD232" s="27" t="n"/>
      <c r="AE232" s="28" t="n"/>
      <c r="AF232" s="30" t="n"/>
      <c r="AG232" s="27" t="n"/>
    </row>
    <row r="233">
      <c r="A233" s="25" t="n"/>
      <c r="B233" s="26">
        <f>IF(ISNUMBER(A233),TEXT(A233,"ddd"),"")</f>
        <v/>
      </c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8" t="n"/>
      <c r="M233" s="26">
        <f>IF(OR(L233="",AND(E233&lt;&gt;"Up",E233&lt;&gt;"Down")),"",IF(OR(L233="In line",L233="Mixed"),"Neutral data",IF(OR(AND(L233="Hotter",E233="Down"),AND(L233="Cooler",E233="Up")),"With data","Against data")))</f>
        <v/>
      </c>
      <c r="N233" s="28" t="n"/>
      <c r="O233" s="27" t="n"/>
      <c r="P233" s="27" t="n"/>
      <c r="Q233" s="28" t="n"/>
      <c r="R233" s="27" t="n"/>
      <c r="S233" s="29" t="n"/>
      <c r="T233" s="27" t="n"/>
      <c r="U233" s="27" t="n"/>
      <c r="V233" s="26">
        <f>IF(OR(AND(E233&lt;&gt;"Up",E233&lt;&gt;"Down"),NOT(ISNUMBER(S233)),IF(E233="Up",Q233,R233)=""),"",IF(S233&gt;=100,"Back to open",IF(OR(IF(E233="Up",Q233,R233)="1-5 min",IF(E233="Up",Q233,R233)="5-15 min"),"Continued",IF(S233&gt;=50,"Partial retrace","Stalled / chop"))))</f>
        <v/>
      </c>
      <c r="W233" s="26">
        <f>IF(OR(Q233="",R233=""),"",IFERROR(IF(AND(Q233="Not by 16:00",R233="Not by 16:00"),"Neither taken",IF(FIND("|"&amp;Q233&amp;"|","|1-5 min|5-15 min|15-60 min|9:30-11:00|11:00-16:00|Not by 16:00|")=FIND("|"&amp;R233&amp;"|","|1-5 min|5-15 min|15-60 min|9:30-11:00|11:00-16:00|Not by 16:00|"),"Same window",IF(FIND("|"&amp;Q233&amp;"|","|1-5 min|5-15 min|15-60 min|9:30-11:00|11:00-16:00|Not by 16:00|")&lt;FIND("|"&amp;R233&amp;"|","|1-5 min|5-15 min|15-60 min|9:30-11:00|11:00-16:00|Not by 16:00|"),IF(E233="Up","High first (main side)",IF(E233="Down","High first (wick side)","High first")),IF(E233="Down","Low first (main side)",IF(E233="Up","Low first (wick side)","Low first"))))),"Check entries"))</f>
        <v/>
      </c>
      <c r="X233" s="28" t="n"/>
      <c r="Y233" s="27" t="n"/>
      <c r="Z233" s="27" t="n"/>
      <c r="AA233" s="27" t="n"/>
      <c r="AB233" s="27" t="n"/>
      <c r="AC233" s="27" t="n"/>
      <c r="AD233" s="27" t="n"/>
      <c r="AE233" s="28" t="n"/>
      <c r="AF233" s="30" t="n"/>
      <c r="AG233" s="27" t="n"/>
    </row>
    <row r="234">
      <c r="A234" s="25" t="n"/>
      <c r="B234" s="26">
        <f>IF(ISNUMBER(A234),TEXT(A234,"ddd"),"")</f>
        <v/>
      </c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8" t="n"/>
      <c r="M234" s="26">
        <f>IF(OR(L234="",AND(E234&lt;&gt;"Up",E234&lt;&gt;"Down")),"",IF(OR(L234="In line",L234="Mixed"),"Neutral data",IF(OR(AND(L234="Hotter",E234="Down"),AND(L234="Cooler",E234="Up")),"With data","Against data")))</f>
        <v/>
      </c>
      <c r="N234" s="28" t="n"/>
      <c r="O234" s="27" t="n"/>
      <c r="P234" s="27" t="n"/>
      <c r="Q234" s="28" t="n"/>
      <c r="R234" s="27" t="n"/>
      <c r="S234" s="29" t="n"/>
      <c r="T234" s="27" t="n"/>
      <c r="U234" s="27" t="n"/>
      <c r="V234" s="26">
        <f>IF(OR(AND(E234&lt;&gt;"Up",E234&lt;&gt;"Down"),NOT(ISNUMBER(S234)),IF(E234="Up",Q234,R234)=""),"",IF(S234&gt;=100,"Back to open",IF(OR(IF(E234="Up",Q234,R234)="1-5 min",IF(E234="Up",Q234,R234)="5-15 min"),"Continued",IF(S234&gt;=50,"Partial retrace","Stalled / chop"))))</f>
        <v/>
      </c>
      <c r="W234" s="26">
        <f>IF(OR(Q234="",R234=""),"",IFERROR(IF(AND(Q234="Not by 16:00",R234="Not by 16:00"),"Neither taken",IF(FIND("|"&amp;Q234&amp;"|","|1-5 min|5-15 min|15-60 min|9:30-11:00|11:00-16:00|Not by 16:00|")=FIND("|"&amp;R234&amp;"|","|1-5 min|5-15 min|15-60 min|9:30-11:00|11:00-16:00|Not by 16:00|"),"Same window",IF(FIND("|"&amp;Q234&amp;"|","|1-5 min|5-15 min|15-60 min|9:30-11:00|11:00-16:00|Not by 16:00|")&lt;FIND("|"&amp;R234&amp;"|","|1-5 min|5-15 min|15-60 min|9:30-11:00|11:00-16:00|Not by 16:00|"),IF(E234="Up","High first (main side)",IF(E234="Down","High first (wick side)","High first")),IF(E234="Down","Low first (main side)",IF(E234="Up","Low first (wick side)","Low first"))))),"Check entries"))</f>
        <v/>
      </c>
      <c r="X234" s="28" t="n"/>
      <c r="Y234" s="27" t="n"/>
      <c r="Z234" s="27" t="n"/>
      <c r="AA234" s="27" t="n"/>
      <c r="AB234" s="27" t="n"/>
      <c r="AC234" s="27" t="n"/>
      <c r="AD234" s="27" t="n"/>
      <c r="AE234" s="28" t="n"/>
      <c r="AF234" s="30" t="n"/>
      <c r="AG234" s="27" t="n"/>
    </row>
    <row r="235">
      <c r="A235" s="25" t="n"/>
      <c r="B235" s="26">
        <f>IF(ISNUMBER(A235),TEXT(A235,"ddd"),"")</f>
        <v/>
      </c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8" t="n"/>
      <c r="M235" s="26">
        <f>IF(OR(L235="",AND(E235&lt;&gt;"Up",E235&lt;&gt;"Down")),"",IF(OR(L235="In line",L235="Mixed"),"Neutral data",IF(OR(AND(L235="Hotter",E235="Down"),AND(L235="Cooler",E235="Up")),"With data","Against data")))</f>
        <v/>
      </c>
      <c r="N235" s="28" t="n"/>
      <c r="O235" s="27" t="n"/>
      <c r="P235" s="27" t="n"/>
      <c r="Q235" s="28" t="n"/>
      <c r="R235" s="27" t="n"/>
      <c r="S235" s="29" t="n"/>
      <c r="T235" s="27" t="n"/>
      <c r="U235" s="27" t="n"/>
      <c r="V235" s="26">
        <f>IF(OR(AND(E235&lt;&gt;"Up",E235&lt;&gt;"Down"),NOT(ISNUMBER(S235)),IF(E235="Up",Q235,R235)=""),"",IF(S235&gt;=100,"Back to open",IF(OR(IF(E235="Up",Q235,R235)="1-5 min",IF(E235="Up",Q235,R235)="5-15 min"),"Continued",IF(S235&gt;=50,"Partial retrace","Stalled / chop"))))</f>
        <v/>
      </c>
      <c r="W235" s="26">
        <f>IF(OR(Q235="",R235=""),"",IFERROR(IF(AND(Q235="Not by 16:00",R235="Not by 16:00"),"Neither taken",IF(FIND("|"&amp;Q235&amp;"|","|1-5 min|5-15 min|15-60 min|9:30-11:00|11:00-16:00|Not by 16:00|")=FIND("|"&amp;R235&amp;"|","|1-5 min|5-15 min|15-60 min|9:30-11:00|11:00-16:00|Not by 16:00|"),"Same window",IF(FIND("|"&amp;Q235&amp;"|","|1-5 min|5-15 min|15-60 min|9:30-11:00|11:00-16:00|Not by 16:00|")&lt;FIND("|"&amp;R235&amp;"|","|1-5 min|5-15 min|15-60 min|9:30-11:00|11:00-16:00|Not by 16:00|"),IF(E235="Up","High first (main side)",IF(E235="Down","High first (wick side)","High first")),IF(E235="Down","Low first (main side)",IF(E235="Up","Low first (wick side)","Low first"))))),"Check entries"))</f>
        <v/>
      </c>
      <c r="X235" s="28" t="n"/>
      <c r="Y235" s="27" t="n"/>
      <c r="Z235" s="27" t="n"/>
      <c r="AA235" s="27" t="n"/>
      <c r="AB235" s="27" t="n"/>
      <c r="AC235" s="27" t="n"/>
      <c r="AD235" s="27" t="n"/>
      <c r="AE235" s="28" t="n"/>
      <c r="AF235" s="30" t="n"/>
      <c r="AG235" s="27" t="n"/>
    </row>
    <row r="236">
      <c r="A236" s="25" t="n"/>
      <c r="B236" s="26">
        <f>IF(ISNUMBER(A236),TEXT(A236,"ddd"),"")</f>
        <v/>
      </c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8" t="n"/>
      <c r="M236" s="26">
        <f>IF(OR(L236="",AND(E236&lt;&gt;"Up",E236&lt;&gt;"Down")),"",IF(OR(L236="In line",L236="Mixed"),"Neutral data",IF(OR(AND(L236="Hotter",E236="Down"),AND(L236="Cooler",E236="Up")),"With data","Against data")))</f>
        <v/>
      </c>
      <c r="N236" s="28" t="n"/>
      <c r="O236" s="27" t="n"/>
      <c r="P236" s="27" t="n"/>
      <c r="Q236" s="28" t="n"/>
      <c r="R236" s="27" t="n"/>
      <c r="S236" s="29" t="n"/>
      <c r="T236" s="27" t="n"/>
      <c r="U236" s="27" t="n"/>
      <c r="V236" s="26">
        <f>IF(OR(AND(E236&lt;&gt;"Up",E236&lt;&gt;"Down"),NOT(ISNUMBER(S236)),IF(E236="Up",Q236,R236)=""),"",IF(S236&gt;=100,"Back to open",IF(OR(IF(E236="Up",Q236,R236)="1-5 min",IF(E236="Up",Q236,R236)="5-15 min"),"Continued",IF(S236&gt;=50,"Partial retrace","Stalled / chop"))))</f>
        <v/>
      </c>
      <c r="W236" s="26">
        <f>IF(OR(Q236="",R236=""),"",IFERROR(IF(AND(Q236="Not by 16:00",R236="Not by 16:00"),"Neither taken",IF(FIND("|"&amp;Q236&amp;"|","|1-5 min|5-15 min|15-60 min|9:30-11:00|11:00-16:00|Not by 16:00|")=FIND("|"&amp;R236&amp;"|","|1-5 min|5-15 min|15-60 min|9:30-11:00|11:00-16:00|Not by 16:00|"),"Same window",IF(FIND("|"&amp;Q236&amp;"|","|1-5 min|5-15 min|15-60 min|9:30-11:00|11:00-16:00|Not by 16:00|")&lt;FIND("|"&amp;R236&amp;"|","|1-5 min|5-15 min|15-60 min|9:30-11:00|11:00-16:00|Not by 16:00|"),IF(E236="Up","High first (main side)",IF(E236="Down","High first (wick side)","High first")),IF(E236="Down","Low first (main side)",IF(E236="Up","Low first (wick side)","Low first"))))),"Check entries"))</f>
        <v/>
      </c>
      <c r="X236" s="28" t="n"/>
      <c r="Y236" s="27" t="n"/>
      <c r="Z236" s="27" t="n"/>
      <c r="AA236" s="27" t="n"/>
      <c r="AB236" s="27" t="n"/>
      <c r="AC236" s="27" t="n"/>
      <c r="AD236" s="27" t="n"/>
      <c r="AE236" s="28" t="n"/>
      <c r="AF236" s="30" t="n"/>
      <c r="AG236" s="27" t="n"/>
    </row>
    <row r="237">
      <c r="A237" s="25" t="n"/>
      <c r="B237" s="26">
        <f>IF(ISNUMBER(A237),TEXT(A237,"ddd"),"")</f>
        <v/>
      </c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8" t="n"/>
      <c r="M237" s="26">
        <f>IF(OR(L237="",AND(E237&lt;&gt;"Up",E237&lt;&gt;"Down")),"",IF(OR(L237="In line",L237="Mixed"),"Neutral data",IF(OR(AND(L237="Hotter",E237="Down"),AND(L237="Cooler",E237="Up")),"With data","Against data")))</f>
        <v/>
      </c>
      <c r="N237" s="28" t="n"/>
      <c r="O237" s="27" t="n"/>
      <c r="P237" s="27" t="n"/>
      <c r="Q237" s="28" t="n"/>
      <c r="R237" s="27" t="n"/>
      <c r="S237" s="29" t="n"/>
      <c r="T237" s="27" t="n"/>
      <c r="U237" s="27" t="n"/>
      <c r="V237" s="26">
        <f>IF(OR(AND(E237&lt;&gt;"Up",E237&lt;&gt;"Down"),NOT(ISNUMBER(S237)),IF(E237="Up",Q237,R237)=""),"",IF(S237&gt;=100,"Back to open",IF(OR(IF(E237="Up",Q237,R237)="1-5 min",IF(E237="Up",Q237,R237)="5-15 min"),"Continued",IF(S237&gt;=50,"Partial retrace","Stalled / chop"))))</f>
        <v/>
      </c>
      <c r="W237" s="26">
        <f>IF(OR(Q237="",R237=""),"",IFERROR(IF(AND(Q237="Not by 16:00",R237="Not by 16:00"),"Neither taken",IF(FIND("|"&amp;Q237&amp;"|","|1-5 min|5-15 min|15-60 min|9:30-11:00|11:00-16:00|Not by 16:00|")=FIND("|"&amp;R237&amp;"|","|1-5 min|5-15 min|15-60 min|9:30-11:00|11:00-16:00|Not by 16:00|"),"Same window",IF(FIND("|"&amp;Q237&amp;"|","|1-5 min|5-15 min|15-60 min|9:30-11:00|11:00-16:00|Not by 16:00|")&lt;FIND("|"&amp;R237&amp;"|","|1-5 min|5-15 min|15-60 min|9:30-11:00|11:00-16:00|Not by 16:00|"),IF(E237="Up","High first (main side)",IF(E237="Down","High first (wick side)","High first")),IF(E237="Down","Low first (main side)",IF(E237="Up","Low first (wick side)","Low first"))))),"Check entries"))</f>
        <v/>
      </c>
      <c r="X237" s="28" t="n"/>
      <c r="Y237" s="27" t="n"/>
      <c r="Z237" s="27" t="n"/>
      <c r="AA237" s="27" t="n"/>
      <c r="AB237" s="27" t="n"/>
      <c r="AC237" s="27" t="n"/>
      <c r="AD237" s="27" t="n"/>
      <c r="AE237" s="28" t="n"/>
      <c r="AF237" s="30" t="n"/>
      <c r="AG237" s="27" t="n"/>
    </row>
    <row r="238">
      <c r="A238" s="25" t="n"/>
      <c r="B238" s="26">
        <f>IF(ISNUMBER(A238),TEXT(A238,"ddd"),"")</f>
        <v/>
      </c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8" t="n"/>
      <c r="M238" s="26">
        <f>IF(OR(L238="",AND(E238&lt;&gt;"Up",E238&lt;&gt;"Down")),"",IF(OR(L238="In line",L238="Mixed"),"Neutral data",IF(OR(AND(L238="Hotter",E238="Down"),AND(L238="Cooler",E238="Up")),"With data","Against data")))</f>
        <v/>
      </c>
      <c r="N238" s="28" t="n"/>
      <c r="O238" s="27" t="n"/>
      <c r="P238" s="27" t="n"/>
      <c r="Q238" s="28" t="n"/>
      <c r="R238" s="27" t="n"/>
      <c r="S238" s="29" t="n"/>
      <c r="T238" s="27" t="n"/>
      <c r="U238" s="27" t="n"/>
      <c r="V238" s="26">
        <f>IF(OR(AND(E238&lt;&gt;"Up",E238&lt;&gt;"Down"),NOT(ISNUMBER(S238)),IF(E238="Up",Q238,R238)=""),"",IF(S238&gt;=100,"Back to open",IF(OR(IF(E238="Up",Q238,R238)="1-5 min",IF(E238="Up",Q238,R238)="5-15 min"),"Continued",IF(S238&gt;=50,"Partial retrace","Stalled / chop"))))</f>
        <v/>
      </c>
      <c r="W238" s="26">
        <f>IF(OR(Q238="",R238=""),"",IFERROR(IF(AND(Q238="Not by 16:00",R238="Not by 16:00"),"Neither taken",IF(FIND("|"&amp;Q238&amp;"|","|1-5 min|5-15 min|15-60 min|9:30-11:00|11:00-16:00|Not by 16:00|")=FIND("|"&amp;R238&amp;"|","|1-5 min|5-15 min|15-60 min|9:30-11:00|11:00-16:00|Not by 16:00|"),"Same window",IF(FIND("|"&amp;Q238&amp;"|","|1-5 min|5-15 min|15-60 min|9:30-11:00|11:00-16:00|Not by 16:00|")&lt;FIND("|"&amp;R238&amp;"|","|1-5 min|5-15 min|15-60 min|9:30-11:00|11:00-16:00|Not by 16:00|"),IF(E238="Up","High first (main side)",IF(E238="Down","High first (wick side)","High first")),IF(E238="Down","Low first (main side)",IF(E238="Up","Low first (wick side)","Low first"))))),"Check entries"))</f>
        <v/>
      </c>
      <c r="X238" s="28" t="n"/>
      <c r="Y238" s="27" t="n"/>
      <c r="Z238" s="27" t="n"/>
      <c r="AA238" s="27" t="n"/>
      <c r="AB238" s="27" t="n"/>
      <c r="AC238" s="27" t="n"/>
      <c r="AD238" s="27" t="n"/>
      <c r="AE238" s="28" t="n"/>
      <c r="AF238" s="30" t="n"/>
      <c r="AG238" s="27" t="n"/>
    </row>
    <row r="239">
      <c r="A239" s="25" t="n"/>
      <c r="B239" s="26">
        <f>IF(ISNUMBER(A239),TEXT(A239,"ddd"),"")</f>
        <v/>
      </c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8" t="n"/>
      <c r="M239" s="26">
        <f>IF(OR(L239="",AND(E239&lt;&gt;"Up",E239&lt;&gt;"Down")),"",IF(OR(L239="In line",L239="Mixed"),"Neutral data",IF(OR(AND(L239="Hotter",E239="Down"),AND(L239="Cooler",E239="Up")),"With data","Against data")))</f>
        <v/>
      </c>
      <c r="N239" s="28" t="n"/>
      <c r="O239" s="27" t="n"/>
      <c r="P239" s="27" t="n"/>
      <c r="Q239" s="28" t="n"/>
      <c r="R239" s="27" t="n"/>
      <c r="S239" s="29" t="n"/>
      <c r="T239" s="27" t="n"/>
      <c r="U239" s="27" t="n"/>
      <c r="V239" s="26">
        <f>IF(OR(AND(E239&lt;&gt;"Up",E239&lt;&gt;"Down"),NOT(ISNUMBER(S239)),IF(E239="Up",Q239,R239)=""),"",IF(S239&gt;=100,"Back to open",IF(OR(IF(E239="Up",Q239,R239)="1-5 min",IF(E239="Up",Q239,R239)="5-15 min"),"Continued",IF(S239&gt;=50,"Partial retrace","Stalled / chop"))))</f>
        <v/>
      </c>
      <c r="W239" s="26">
        <f>IF(OR(Q239="",R239=""),"",IFERROR(IF(AND(Q239="Not by 16:00",R239="Not by 16:00"),"Neither taken",IF(FIND("|"&amp;Q239&amp;"|","|1-5 min|5-15 min|15-60 min|9:30-11:00|11:00-16:00|Not by 16:00|")=FIND("|"&amp;R239&amp;"|","|1-5 min|5-15 min|15-60 min|9:30-11:00|11:00-16:00|Not by 16:00|"),"Same window",IF(FIND("|"&amp;Q239&amp;"|","|1-5 min|5-15 min|15-60 min|9:30-11:00|11:00-16:00|Not by 16:00|")&lt;FIND("|"&amp;R239&amp;"|","|1-5 min|5-15 min|15-60 min|9:30-11:00|11:00-16:00|Not by 16:00|"),IF(E239="Up","High first (main side)",IF(E239="Down","High first (wick side)","High first")),IF(E239="Down","Low first (main side)",IF(E239="Up","Low first (wick side)","Low first"))))),"Check entries"))</f>
        <v/>
      </c>
      <c r="X239" s="28" t="n"/>
      <c r="Y239" s="27" t="n"/>
      <c r="Z239" s="27" t="n"/>
      <c r="AA239" s="27" t="n"/>
      <c r="AB239" s="27" t="n"/>
      <c r="AC239" s="27" t="n"/>
      <c r="AD239" s="27" t="n"/>
      <c r="AE239" s="28" t="n"/>
      <c r="AF239" s="30" t="n"/>
      <c r="AG239" s="27" t="n"/>
    </row>
    <row r="240">
      <c r="A240" s="25" t="n"/>
      <c r="B240" s="26">
        <f>IF(ISNUMBER(A240),TEXT(A240,"ddd"),"")</f>
        <v/>
      </c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8" t="n"/>
      <c r="M240" s="26">
        <f>IF(OR(L240="",AND(E240&lt;&gt;"Up",E240&lt;&gt;"Down")),"",IF(OR(L240="In line",L240="Mixed"),"Neutral data",IF(OR(AND(L240="Hotter",E240="Down"),AND(L240="Cooler",E240="Up")),"With data","Against data")))</f>
        <v/>
      </c>
      <c r="N240" s="28" t="n"/>
      <c r="O240" s="27" t="n"/>
      <c r="P240" s="27" t="n"/>
      <c r="Q240" s="28" t="n"/>
      <c r="R240" s="27" t="n"/>
      <c r="S240" s="29" t="n"/>
      <c r="T240" s="27" t="n"/>
      <c r="U240" s="27" t="n"/>
      <c r="V240" s="26">
        <f>IF(OR(AND(E240&lt;&gt;"Up",E240&lt;&gt;"Down"),NOT(ISNUMBER(S240)),IF(E240="Up",Q240,R240)=""),"",IF(S240&gt;=100,"Back to open",IF(OR(IF(E240="Up",Q240,R240)="1-5 min",IF(E240="Up",Q240,R240)="5-15 min"),"Continued",IF(S240&gt;=50,"Partial retrace","Stalled / chop"))))</f>
        <v/>
      </c>
      <c r="W240" s="26">
        <f>IF(OR(Q240="",R240=""),"",IFERROR(IF(AND(Q240="Not by 16:00",R240="Not by 16:00"),"Neither taken",IF(FIND("|"&amp;Q240&amp;"|","|1-5 min|5-15 min|15-60 min|9:30-11:00|11:00-16:00|Not by 16:00|")=FIND("|"&amp;R240&amp;"|","|1-5 min|5-15 min|15-60 min|9:30-11:00|11:00-16:00|Not by 16:00|"),"Same window",IF(FIND("|"&amp;Q240&amp;"|","|1-5 min|5-15 min|15-60 min|9:30-11:00|11:00-16:00|Not by 16:00|")&lt;FIND("|"&amp;R240&amp;"|","|1-5 min|5-15 min|15-60 min|9:30-11:00|11:00-16:00|Not by 16:00|"),IF(E240="Up","High first (main side)",IF(E240="Down","High first (wick side)","High first")),IF(E240="Down","Low first (main side)",IF(E240="Up","Low first (wick side)","Low first"))))),"Check entries"))</f>
        <v/>
      </c>
      <c r="X240" s="28" t="n"/>
      <c r="Y240" s="27" t="n"/>
      <c r="Z240" s="27" t="n"/>
      <c r="AA240" s="27" t="n"/>
      <c r="AB240" s="27" t="n"/>
      <c r="AC240" s="27" t="n"/>
      <c r="AD240" s="27" t="n"/>
      <c r="AE240" s="28" t="n"/>
      <c r="AF240" s="30" t="n"/>
      <c r="AG240" s="27" t="n"/>
    </row>
    <row r="241">
      <c r="A241" s="25" t="n"/>
      <c r="B241" s="26">
        <f>IF(ISNUMBER(A241),TEXT(A241,"ddd"),"")</f>
        <v/>
      </c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8" t="n"/>
      <c r="M241" s="26">
        <f>IF(OR(L241="",AND(E241&lt;&gt;"Up",E241&lt;&gt;"Down")),"",IF(OR(L241="In line",L241="Mixed"),"Neutral data",IF(OR(AND(L241="Hotter",E241="Down"),AND(L241="Cooler",E241="Up")),"With data","Against data")))</f>
        <v/>
      </c>
      <c r="N241" s="28" t="n"/>
      <c r="O241" s="27" t="n"/>
      <c r="P241" s="27" t="n"/>
      <c r="Q241" s="28" t="n"/>
      <c r="R241" s="27" t="n"/>
      <c r="S241" s="29" t="n"/>
      <c r="T241" s="27" t="n"/>
      <c r="U241" s="27" t="n"/>
      <c r="V241" s="26">
        <f>IF(OR(AND(E241&lt;&gt;"Up",E241&lt;&gt;"Down"),NOT(ISNUMBER(S241)),IF(E241="Up",Q241,R241)=""),"",IF(S241&gt;=100,"Back to open",IF(OR(IF(E241="Up",Q241,R241)="1-5 min",IF(E241="Up",Q241,R241)="5-15 min"),"Continued",IF(S241&gt;=50,"Partial retrace","Stalled / chop"))))</f>
        <v/>
      </c>
      <c r="W241" s="26">
        <f>IF(OR(Q241="",R241=""),"",IFERROR(IF(AND(Q241="Not by 16:00",R241="Not by 16:00"),"Neither taken",IF(FIND("|"&amp;Q241&amp;"|","|1-5 min|5-15 min|15-60 min|9:30-11:00|11:00-16:00|Not by 16:00|")=FIND("|"&amp;R241&amp;"|","|1-5 min|5-15 min|15-60 min|9:30-11:00|11:00-16:00|Not by 16:00|"),"Same window",IF(FIND("|"&amp;Q241&amp;"|","|1-5 min|5-15 min|15-60 min|9:30-11:00|11:00-16:00|Not by 16:00|")&lt;FIND("|"&amp;R241&amp;"|","|1-5 min|5-15 min|15-60 min|9:30-11:00|11:00-16:00|Not by 16:00|"),IF(E241="Up","High first (main side)",IF(E241="Down","High first (wick side)","High first")),IF(E241="Down","Low first (main side)",IF(E241="Up","Low first (wick side)","Low first"))))),"Check entries"))</f>
        <v/>
      </c>
      <c r="X241" s="28" t="n"/>
      <c r="Y241" s="27" t="n"/>
      <c r="Z241" s="27" t="n"/>
      <c r="AA241" s="27" t="n"/>
      <c r="AB241" s="27" t="n"/>
      <c r="AC241" s="27" t="n"/>
      <c r="AD241" s="27" t="n"/>
      <c r="AE241" s="28" t="n"/>
      <c r="AF241" s="30" t="n"/>
      <c r="AG241" s="27" t="n"/>
    </row>
    <row r="242">
      <c r="A242" s="25" t="n"/>
      <c r="B242" s="26">
        <f>IF(ISNUMBER(A242),TEXT(A242,"ddd"),"")</f>
        <v/>
      </c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8" t="n"/>
      <c r="M242" s="26">
        <f>IF(OR(L242="",AND(E242&lt;&gt;"Up",E242&lt;&gt;"Down")),"",IF(OR(L242="In line",L242="Mixed"),"Neutral data",IF(OR(AND(L242="Hotter",E242="Down"),AND(L242="Cooler",E242="Up")),"With data","Against data")))</f>
        <v/>
      </c>
      <c r="N242" s="28" t="n"/>
      <c r="O242" s="27" t="n"/>
      <c r="P242" s="27" t="n"/>
      <c r="Q242" s="28" t="n"/>
      <c r="R242" s="27" t="n"/>
      <c r="S242" s="29" t="n"/>
      <c r="T242" s="27" t="n"/>
      <c r="U242" s="27" t="n"/>
      <c r="V242" s="26">
        <f>IF(OR(AND(E242&lt;&gt;"Up",E242&lt;&gt;"Down"),NOT(ISNUMBER(S242)),IF(E242="Up",Q242,R242)=""),"",IF(S242&gt;=100,"Back to open",IF(OR(IF(E242="Up",Q242,R242)="1-5 min",IF(E242="Up",Q242,R242)="5-15 min"),"Continued",IF(S242&gt;=50,"Partial retrace","Stalled / chop"))))</f>
        <v/>
      </c>
      <c r="W242" s="26">
        <f>IF(OR(Q242="",R242=""),"",IFERROR(IF(AND(Q242="Not by 16:00",R242="Not by 16:00"),"Neither taken",IF(FIND("|"&amp;Q242&amp;"|","|1-5 min|5-15 min|15-60 min|9:30-11:00|11:00-16:00|Not by 16:00|")=FIND("|"&amp;R242&amp;"|","|1-5 min|5-15 min|15-60 min|9:30-11:00|11:00-16:00|Not by 16:00|"),"Same window",IF(FIND("|"&amp;Q242&amp;"|","|1-5 min|5-15 min|15-60 min|9:30-11:00|11:00-16:00|Not by 16:00|")&lt;FIND("|"&amp;R242&amp;"|","|1-5 min|5-15 min|15-60 min|9:30-11:00|11:00-16:00|Not by 16:00|"),IF(E242="Up","High first (main side)",IF(E242="Down","High first (wick side)","High first")),IF(E242="Down","Low first (main side)",IF(E242="Up","Low first (wick side)","Low first"))))),"Check entries"))</f>
        <v/>
      </c>
      <c r="X242" s="28" t="n"/>
      <c r="Y242" s="27" t="n"/>
      <c r="Z242" s="27" t="n"/>
      <c r="AA242" s="27" t="n"/>
      <c r="AB242" s="27" t="n"/>
      <c r="AC242" s="27" t="n"/>
      <c r="AD242" s="27" t="n"/>
      <c r="AE242" s="28" t="n"/>
      <c r="AF242" s="30" t="n"/>
      <c r="AG242" s="27" t="n"/>
    </row>
    <row r="243">
      <c r="A243" s="25" t="n"/>
      <c r="B243" s="26">
        <f>IF(ISNUMBER(A243),TEXT(A243,"ddd"),"")</f>
        <v/>
      </c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8" t="n"/>
      <c r="M243" s="26">
        <f>IF(OR(L243="",AND(E243&lt;&gt;"Up",E243&lt;&gt;"Down")),"",IF(OR(L243="In line",L243="Mixed"),"Neutral data",IF(OR(AND(L243="Hotter",E243="Down"),AND(L243="Cooler",E243="Up")),"With data","Against data")))</f>
        <v/>
      </c>
      <c r="N243" s="28" t="n"/>
      <c r="O243" s="27" t="n"/>
      <c r="P243" s="27" t="n"/>
      <c r="Q243" s="28" t="n"/>
      <c r="R243" s="27" t="n"/>
      <c r="S243" s="29" t="n"/>
      <c r="T243" s="27" t="n"/>
      <c r="U243" s="27" t="n"/>
      <c r="V243" s="26">
        <f>IF(OR(AND(E243&lt;&gt;"Up",E243&lt;&gt;"Down"),NOT(ISNUMBER(S243)),IF(E243="Up",Q243,R243)=""),"",IF(S243&gt;=100,"Back to open",IF(OR(IF(E243="Up",Q243,R243)="1-5 min",IF(E243="Up",Q243,R243)="5-15 min"),"Continued",IF(S243&gt;=50,"Partial retrace","Stalled / chop"))))</f>
        <v/>
      </c>
      <c r="W243" s="26">
        <f>IF(OR(Q243="",R243=""),"",IFERROR(IF(AND(Q243="Not by 16:00",R243="Not by 16:00"),"Neither taken",IF(FIND("|"&amp;Q243&amp;"|","|1-5 min|5-15 min|15-60 min|9:30-11:00|11:00-16:00|Not by 16:00|")=FIND("|"&amp;R243&amp;"|","|1-5 min|5-15 min|15-60 min|9:30-11:00|11:00-16:00|Not by 16:00|"),"Same window",IF(FIND("|"&amp;Q243&amp;"|","|1-5 min|5-15 min|15-60 min|9:30-11:00|11:00-16:00|Not by 16:00|")&lt;FIND("|"&amp;R243&amp;"|","|1-5 min|5-15 min|15-60 min|9:30-11:00|11:00-16:00|Not by 16:00|"),IF(E243="Up","High first (main side)",IF(E243="Down","High first (wick side)","High first")),IF(E243="Down","Low first (main side)",IF(E243="Up","Low first (wick side)","Low first"))))),"Check entries"))</f>
        <v/>
      </c>
      <c r="X243" s="28" t="n"/>
      <c r="Y243" s="27" t="n"/>
      <c r="Z243" s="27" t="n"/>
      <c r="AA243" s="27" t="n"/>
      <c r="AB243" s="27" t="n"/>
      <c r="AC243" s="27" t="n"/>
      <c r="AD243" s="27" t="n"/>
      <c r="AE243" s="28" t="n"/>
      <c r="AF243" s="30" t="n"/>
      <c r="AG243" s="27" t="n"/>
    </row>
    <row r="244">
      <c r="A244" s="25" t="n"/>
      <c r="B244" s="26">
        <f>IF(ISNUMBER(A244),TEXT(A244,"ddd"),"")</f>
        <v/>
      </c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8" t="n"/>
      <c r="M244" s="26">
        <f>IF(OR(L244="",AND(E244&lt;&gt;"Up",E244&lt;&gt;"Down")),"",IF(OR(L244="In line",L244="Mixed"),"Neutral data",IF(OR(AND(L244="Hotter",E244="Down"),AND(L244="Cooler",E244="Up")),"With data","Against data")))</f>
        <v/>
      </c>
      <c r="N244" s="28" t="n"/>
      <c r="O244" s="27" t="n"/>
      <c r="P244" s="27" t="n"/>
      <c r="Q244" s="28" t="n"/>
      <c r="R244" s="27" t="n"/>
      <c r="S244" s="29" t="n"/>
      <c r="T244" s="27" t="n"/>
      <c r="U244" s="27" t="n"/>
      <c r="V244" s="26">
        <f>IF(OR(AND(E244&lt;&gt;"Up",E244&lt;&gt;"Down"),NOT(ISNUMBER(S244)),IF(E244="Up",Q244,R244)=""),"",IF(S244&gt;=100,"Back to open",IF(OR(IF(E244="Up",Q244,R244)="1-5 min",IF(E244="Up",Q244,R244)="5-15 min"),"Continued",IF(S244&gt;=50,"Partial retrace","Stalled / chop"))))</f>
        <v/>
      </c>
      <c r="W244" s="26">
        <f>IF(OR(Q244="",R244=""),"",IFERROR(IF(AND(Q244="Not by 16:00",R244="Not by 16:00"),"Neither taken",IF(FIND("|"&amp;Q244&amp;"|","|1-5 min|5-15 min|15-60 min|9:30-11:00|11:00-16:00|Not by 16:00|")=FIND("|"&amp;R244&amp;"|","|1-5 min|5-15 min|15-60 min|9:30-11:00|11:00-16:00|Not by 16:00|"),"Same window",IF(FIND("|"&amp;Q244&amp;"|","|1-5 min|5-15 min|15-60 min|9:30-11:00|11:00-16:00|Not by 16:00|")&lt;FIND("|"&amp;R244&amp;"|","|1-5 min|5-15 min|15-60 min|9:30-11:00|11:00-16:00|Not by 16:00|"),IF(E244="Up","High first (main side)",IF(E244="Down","High first (wick side)","High first")),IF(E244="Down","Low first (main side)",IF(E244="Up","Low first (wick side)","Low first"))))),"Check entries"))</f>
        <v/>
      </c>
      <c r="X244" s="28" t="n"/>
      <c r="Y244" s="27" t="n"/>
      <c r="Z244" s="27" t="n"/>
      <c r="AA244" s="27" t="n"/>
      <c r="AB244" s="27" t="n"/>
      <c r="AC244" s="27" t="n"/>
      <c r="AD244" s="27" t="n"/>
      <c r="AE244" s="28" t="n"/>
      <c r="AF244" s="30" t="n"/>
      <c r="AG244" s="27" t="n"/>
    </row>
    <row r="245">
      <c r="A245" s="25" t="n"/>
      <c r="B245" s="26">
        <f>IF(ISNUMBER(A245),TEXT(A245,"ddd"),"")</f>
        <v/>
      </c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8" t="n"/>
      <c r="M245" s="26">
        <f>IF(OR(L245="",AND(E245&lt;&gt;"Up",E245&lt;&gt;"Down")),"",IF(OR(L245="In line",L245="Mixed"),"Neutral data",IF(OR(AND(L245="Hotter",E245="Down"),AND(L245="Cooler",E245="Up")),"With data","Against data")))</f>
        <v/>
      </c>
      <c r="N245" s="28" t="n"/>
      <c r="O245" s="27" t="n"/>
      <c r="P245" s="27" t="n"/>
      <c r="Q245" s="28" t="n"/>
      <c r="R245" s="27" t="n"/>
      <c r="S245" s="29" t="n"/>
      <c r="T245" s="27" t="n"/>
      <c r="U245" s="27" t="n"/>
      <c r="V245" s="26">
        <f>IF(OR(AND(E245&lt;&gt;"Up",E245&lt;&gt;"Down"),NOT(ISNUMBER(S245)),IF(E245="Up",Q245,R245)=""),"",IF(S245&gt;=100,"Back to open",IF(OR(IF(E245="Up",Q245,R245)="1-5 min",IF(E245="Up",Q245,R245)="5-15 min"),"Continued",IF(S245&gt;=50,"Partial retrace","Stalled / chop"))))</f>
        <v/>
      </c>
      <c r="W245" s="26">
        <f>IF(OR(Q245="",R245=""),"",IFERROR(IF(AND(Q245="Not by 16:00",R245="Not by 16:00"),"Neither taken",IF(FIND("|"&amp;Q245&amp;"|","|1-5 min|5-15 min|15-60 min|9:30-11:00|11:00-16:00|Not by 16:00|")=FIND("|"&amp;R245&amp;"|","|1-5 min|5-15 min|15-60 min|9:30-11:00|11:00-16:00|Not by 16:00|"),"Same window",IF(FIND("|"&amp;Q245&amp;"|","|1-5 min|5-15 min|15-60 min|9:30-11:00|11:00-16:00|Not by 16:00|")&lt;FIND("|"&amp;R245&amp;"|","|1-5 min|5-15 min|15-60 min|9:30-11:00|11:00-16:00|Not by 16:00|"),IF(E245="Up","High first (main side)",IF(E245="Down","High first (wick side)","High first")),IF(E245="Down","Low first (main side)",IF(E245="Up","Low first (wick side)","Low first"))))),"Check entries"))</f>
        <v/>
      </c>
      <c r="X245" s="28" t="n"/>
      <c r="Y245" s="27" t="n"/>
      <c r="Z245" s="27" t="n"/>
      <c r="AA245" s="27" t="n"/>
      <c r="AB245" s="27" t="n"/>
      <c r="AC245" s="27" t="n"/>
      <c r="AD245" s="27" t="n"/>
      <c r="AE245" s="28" t="n"/>
      <c r="AF245" s="30" t="n"/>
      <c r="AG245" s="27" t="n"/>
    </row>
    <row r="246">
      <c r="A246" s="25" t="n"/>
      <c r="B246" s="26">
        <f>IF(ISNUMBER(A246),TEXT(A246,"ddd"),"")</f>
        <v/>
      </c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8" t="n"/>
      <c r="M246" s="26">
        <f>IF(OR(L246="",AND(E246&lt;&gt;"Up",E246&lt;&gt;"Down")),"",IF(OR(L246="In line",L246="Mixed"),"Neutral data",IF(OR(AND(L246="Hotter",E246="Down"),AND(L246="Cooler",E246="Up")),"With data","Against data")))</f>
        <v/>
      </c>
      <c r="N246" s="28" t="n"/>
      <c r="O246" s="27" t="n"/>
      <c r="P246" s="27" t="n"/>
      <c r="Q246" s="28" t="n"/>
      <c r="R246" s="27" t="n"/>
      <c r="S246" s="29" t="n"/>
      <c r="T246" s="27" t="n"/>
      <c r="U246" s="27" t="n"/>
      <c r="V246" s="26">
        <f>IF(OR(AND(E246&lt;&gt;"Up",E246&lt;&gt;"Down"),NOT(ISNUMBER(S246)),IF(E246="Up",Q246,R246)=""),"",IF(S246&gt;=100,"Back to open",IF(OR(IF(E246="Up",Q246,R246)="1-5 min",IF(E246="Up",Q246,R246)="5-15 min"),"Continued",IF(S246&gt;=50,"Partial retrace","Stalled / chop"))))</f>
        <v/>
      </c>
      <c r="W246" s="26">
        <f>IF(OR(Q246="",R246=""),"",IFERROR(IF(AND(Q246="Not by 16:00",R246="Not by 16:00"),"Neither taken",IF(FIND("|"&amp;Q246&amp;"|","|1-5 min|5-15 min|15-60 min|9:30-11:00|11:00-16:00|Not by 16:00|")=FIND("|"&amp;R246&amp;"|","|1-5 min|5-15 min|15-60 min|9:30-11:00|11:00-16:00|Not by 16:00|"),"Same window",IF(FIND("|"&amp;Q246&amp;"|","|1-5 min|5-15 min|15-60 min|9:30-11:00|11:00-16:00|Not by 16:00|")&lt;FIND("|"&amp;R246&amp;"|","|1-5 min|5-15 min|15-60 min|9:30-11:00|11:00-16:00|Not by 16:00|"),IF(E246="Up","High first (main side)",IF(E246="Down","High first (wick side)","High first")),IF(E246="Down","Low first (main side)",IF(E246="Up","Low first (wick side)","Low first"))))),"Check entries"))</f>
        <v/>
      </c>
      <c r="X246" s="28" t="n"/>
      <c r="Y246" s="27" t="n"/>
      <c r="Z246" s="27" t="n"/>
      <c r="AA246" s="27" t="n"/>
      <c r="AB246" s="27" t="n"/>
      <c r="AC246" s="27" t="n"/>
      <c r="AD246" s="27" t="n"/>
      <c r="AE246" s="28" t="n"/>
      <c r="AF246" s="30" t="n"/>
      <c r="AG246" s="27" t="n"/>
    </row>
    <row r="247">
      <c r="A247" s="25" t="n"/>
      <c r="B247" s="26">
        <f>IF(ISNUMBER(A247),TEXT(A247,"ddd"),"")</f>
        <v/>
      </c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8" t="n"/>
      <c r="M247" s="26">
        <f>IF(OR(L247="",AND(E247&lt;&gt;"Up",E247&lt;&gt;"Down")),"",IF(OR(L247="In line",L247="Mixed"),"Neutral data",IF(OR(AND(L247="Hotter",E247="Down"),AND(L247="Cooler",E247="Up")),"With data","Against data")))</f>
        <v/>
      </c>
      <c r="N247" s="28" t="n"/>
      <c r="O247" s="27" t="n"/>
      <c r="P247" s="27" t="n"/>
      <c r="Q247" s="28" t="n"/>
      <c r="R247" s="27" t="n"/>
      <c r="S247" s="29" t="n"/>
      <c r="T247" s="27" t="n"/>
      <c r="U247" s="27" t="n"/>
      <c r="V247" s="26">
        <f>IF(OR(AND(E247&lt;&gt;"Up",E247&lt;&gt;"Down"),NOT(ISNUMBER(S247)),IF(E247="Up",Q247,R247)=""),"",IF(S247&gt;=100,"Back to open",IF(OR(IF(E247="Up",Q247,R247)="1-5 min",IF(E247="Up",Q247,R247)="5-15 min"),"Continued",IF(S247&gt;=50,"Partial retrace","Stalled / chop"))))</f>
        <v/>
      </c>
      <c r="W247" s="26">
        <f>IF(OR(Q247="",R247=""),"",IFERROR(IF(AND(Q247="Not by 16:00",R247="Not by 16:00"),"Neither taken",IF(FIND("|"&amp;Q247&amp;"|","|1-5 min|5-15 min|15-60 min|9:30-11:00|11:00-16:00|Not by 16:00|")=FIND("|"&amp;R247&amp;"|","|1-5 min|5-15 min|15-60 min|9:30-11:00|11:00-16:00|Not by 16:00|"),"Same window",IF(FIND("|"&amp;Q247&amp;"|","|1-5 min|5-15 min|15-60 min|9:30-11:00|11:00-16:00|Not by 16:00|")&lt;FIND("|"&amp;R247&amp;"|","|1-5 min|5-15 min|15-60 min|9:30-11:00|11:00-16:00|Not by 16:00|"),IF(E247="Up","High first (main side)",IF(E247="Down","High first (wick side)","High first")),IF(E247="Down","Low first (main side)",IF(E247="Up","Low first (wick side)","Low first"))))),"Check entries"))</f>
        <v/>
      </c>
      <c r="X247" s="28" t="n"/>
      <c r="Y247" s="27" t="n"/>
      <c r="Z247" s="27" t="n"/>
      <c r="AA247" s="27" t="n"/>
      <c r="AB247" s="27" t="n"/>
      <c r="AC247" s="27" t="n"/>
      <c r="AD247" s="27" t="n"/>
      <c r="AE247" s="28" t="n"/>
      <c r="AF247" s="30" t="n"/>
      <c r="AG247" s="27" t="n"/>
    </row>
    <row r="248">
      <c r="A248" s="25" t="n"/>
      <c r="B248" s="26">
        <f>IF(ISNUMBER(A248),TEXT(A248,"ddd"),"")</f>
        <v/>
      </c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8" t="n"/>
      <c r="M248" s="26">
        <f>IF(OR(L248="",AND(E248&lt;&gt;"Up",E248&lt;&gt;"Down")),"",IF(OR(L248="In line",L248="Mixed"),"Neutral data",IF(OR(AND(L248="Hotter",E248="Down"),AND(L248="Cooler",E248="Up")),"With data","Against data")))</f>
        <v/>
      </c>
      <c r="N248" s="28" t="n"/>
      <c r="O248" s="27" t="n"/>
      <c r="P248" s="27" t="n"/>
      <c r="Q248" s="28" t="n"/>
      <c r="R248" s="27" t="n"/>
      <c r="S248" s="29" t="n"/>
      <c r="T248" s="27" t="n"/>
      <c r="U248" s="27" t="n"/>
      <c r="V248" s="26">
        <f>IF(OR(AND(E248&lt;&gt;"Up",E248&lt;&gt;"Down"),NOT(ISNUMBER(S248)),IF(E248="Up",Q248,R248)=""),"",IF(S248&gt;=100,"Back to open",IF(OR(IF(E248="Up",Q248,R248)="1-5 min",IF(E248="Up",Q248,R248)="5-15 min"),"Continued",IF(S248&gt;=50,"Partial retrace","Stalled / chop"))))</f>
        <v/>
      </c>
      <c r="W248" s="26">
        <f>IF(OR(Q248="",R248=""),"",IFERROR(IF(AND(Q248="Not by 16:00",R248="Not by 16:00"),"Neither taken",IF(FIND("|"&amp;Q248&amp;"|","|1-5 min|5-15 min|15-60 min|9:30-11:00|11:00-16:00|Not by 16:00|")=FIND("|"&amp;R248&amp;"|","|1-5 min|5-15 min|15-60 min|9:30-11:00|11:00-16:00|Not by 16:00|"),"Same window",IF(FIND("|"&amp;Q248&amp;"|","|1-5 min|5-15 min|15-60 min|9:30-11:00|11:00-16:00|Not by 16:00|")&lt;FIND("|"&amp;R248&amp;"|","|1-5 min|5-15 min|15-60 min|9:30-11:00|11:00-16:00|Not by 16:00|"),IF(E248="Up","High first (main side)",IF(E248="Down","High first (wick side)","High first")),IF(E248="Down","Low first (main side)",IF(E248="Up","Low first (wick side)","Low first"))))),"Check entries"))</f>
        <v/>
      </c>
      <c r="X248" s="28" t="n"/>
      <c r="Y248" s="27" t="n"/>
      <c r="Z248" s="27" t="n"/>
      <c r="AA248" s="27" t="n"/>
      <c r="AB248" s="27" t="n"/>
      <c r="AC248" s="27" t="n"/>
      <c r="AD248" s="27" t="n"/>
      <c r="AE248" s="28" t="n"/>
      <c r="AF248" s="30" t="n"/>
      <c r="AG248" s="27" t="n"/>
    </row>
    <row r="249">
      <c r="A249" s="25" t="n"/>
      <c r="B249" s="26">
        <f>IF(ISNUMBER(A249),TEXT(A249,"ddd"),"")</f>
        <v/>
      </c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8" t="n"/>
      <c r="M249" s="26">
        <f>IF(OR(L249="",AND(E249&lt;&gt;"Up",E249&lt;&gt;"Down")),"",IF(OR(L249="In line",L249="Mixed"),"Neutral data",IF(OR(AND(L249="Hotter",E249="Down"),AND(L249="Cooler",E249="Up")),"With data","Against data")))</f>
        <v/>
      </c>
      <c r="N249" s="28" t="n"/>
      <c r="O249" s="27" t="n"/>
      <c r="P249" s="27" t="n"/>
      <c r="Q249" s="28" t="n"/>
      <c r="R249" s="27" t="n"/>
      <c r="S249" s="29" t="n"/>
      <c r="T249" s="27" t="n"/>
      <c r="U249" s="27" t="n"/>
      <c r="V249" s="26">
        <f>IF(OR(AND(E249&lt;&gt;"Up",E249&lt;&gt;"Down"),NOT(ISNUMBER(S249)),IF(E249="Up",Q249,R249)=""),"",IF(S249&gt;=100,"Back to open",IF(OR(IF(E249="Up",Q249,R249)="1-5 min",IF(E249="Up",Q249,R249)="5-15 min"),"Continued",IF(S249&gt;=50,"Partial retrace","Stalled / chop"))))</f>
        <v/>
      </c>
      <c r="W249" s="26">
        <f>IF(OR(Q249="",R249=""),"",IFERROR(IF(AND(Q249="Not by 16:00",R249="Not by 16:00"),"Neither taken",IF(FIND("|"&amp;Q249&amp;"|","|1-5 min|5-15 min|15-60 min|9:30-11:00|11:00-16:00|Not by 16:00|")=FIND("|"&amp;R249&amp;"|","|1-5 min|5-15 min|15-60 min|9:30-11:00|11:00-16:00|Not by 16:00|"),"Same window",IF(FIND("|"&amp;Q249&amp;"|","|1-5 min|5-15 min|15-60 min|9:30-11:00|11:00-16:00|Not by 16:00|")&lt;FIND("|"&amp;R249&amp;"|","|1-5 min|5-15 min|15-60 min|9:30-11:00|11:00-16:00|Not by 16:00|"),IF(E249="Up","High first (main side)",IF(E249="Down","High first (wick side)","High first")),IF(E249="Down","Low first (main side)",IF(E249="Up","Low first (wick side)","Low first"))))),"Check entries"))</f>
        <v/>
      </c>
      <c r="X249" s="28" t="n"/>
      <c r="Y249" s="27" t="n"/>
      <c r="Z249" s="27" t="n"/>
      <c r="AA249" s="27" t="n"/>
      <c r="AB249" s="27" t="n"/>
      <c r="AC249" s="27" t="n"/>
      <c r="AD249" s="27" t="n"/>
      <c r="AE249" s="28" t="n"/>
      <c r="AF249" s="30" t="n"/>
      <c r="AG249" s="27" t="n"/>
    </row>
    <row r="250">
      <c r="A250" s="25" t="n"/>
      <c r="B250" s="26">
        <f>IF(ISNUMBER(A250),TEXT(A250,"ddd"),"")</f>
        <v/>
      </c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8" t="n"/>
      <c r="M250" s="26">
        <f>IF(OR(L250="",AND(E250&lt;&gt;"Up",E250&lt;&gt;"Down")),"",IF(OR(L250="In line",L250="Mixed"),"Neutral data",IF(OR(AND(L250="Hotter",E250="Down"),AND(L250="Cooler",E250="Up")),"With data","Against data")))</f>
        <v/>
      </c>
      <c r="N250" s="28" t="n"/>
      <c r="O250" s="27" t="n"/>
      <c r="P250" s="27" t="n"/>
      <c r="Q250" s="28" t="n"/>
      <c r="R250" s="27" t="n"/>
      <c r="S250" s="29" t="n"/>
      <c r="T250" s="27" t="n"/>
      <c r="U250" s="27" t="n"/>
      <c r="V250" s="26">
        <f>IF(OR(AND(E250&lt;&gt;"Up",E250&lt;&gt;"Down"),NOT(ISNUMBER(S250)),IF(E250="Up",Q250,R250)=""),"",IF(S250&gt;=100,"Back to open",IF(OR(IF(E250="Up",Q250,R250)="1-5 min",IF(E250="Up",Q250,R250)="5-15 min"),"Continued",IF(S250&gt;=50,"Partial retrace","Stalled / chop"))))</f>
        <v/>
      </c>
      <c r="W250" s="26">
        <f>IF(OR(Q250="",R250=""),"",IFERROR(IF(AND(Q250="Not by 16:00",R250="Not by 16:00"),"Neither taken",IF(FIND("|"&amp;Q250&amp;"|","|1-5 min|5-15 min|15-60 min|9:30-11:00|11:00-16:00|Not by 16:00|")=FIND("|"&amp;R250&amp;"|","|1-5 min|5-15 min|15-60 min|9:30-11:00|11:00-16:00|Not by 16:00|"),"Same window",IF(FIND("|"&amp;Q250&amp;"|","|1-5 min|5-15 min|15-60 min|9:30-11:00|11:00-16:00|Not by 16:00|")&lt;FIND("|"&amp;R250&amp;"|","|1-5 min|5-15 min|15-60 min|9:30-11:00|11:00-16:00|Not by 16:00|"),IF(E250="Up","High first (main side)",IF(E250="Down","High first (wick side)","High first")),IF(E250="Down","Low first (main side)",IF(E250="Up","Low first (wick side)","Low first"))))),"Check entries"))</f>
        <v/>
      </c>
      <c r="X250" s="28" t="n"/>
      <c r="Y250" s="27" t="n"/>
      <c r="Z250" s="27" t="n"/>
      <c r="AA250" s="27" t="n"/>
      <c r="AB250" s="27" t="n"/>
      <c r="AC250" s="27" t="n"/>
      <c r="AD250" s="27" t="n"/>
      <c r="AE250" s="28" t="n"/>
      <c r="AF250" s="30" t="n"/>
      <c r="AG250" s="27" t="n"/>
    </row>
    <row r="251">
      <c r="A251" s="25" t="n"/>
      <c r="B251" s="26">
        <f>IF(ISNUMBER(A251),TEXT(A251,"ddd"),"")</f>
        <v/>
      </c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8" t="n"/>
      <c r="M251" s="26">
        <f>IF(OR(L251="",AND(E251&lt;&gt;"Up",E251&lt;&gt;"Down")),"",IF(OR(L251="In line",L251="Mixed"),"Neutral data",IF(OR(AND(L251="Hotter",E251="Down"),AND(L251="Cooler",E251="Up")),"With data","Against data")))</f>
        <v/>
      </c>
      <c r="N251" s="28" t="n"/>
      <c r="O251" s="27" t="n"/>
      <c r="P251" s="27" t="n"/>
      <c r="Q251" s="28" t="n"/>
      <c r="R251" s="27" t="n"/>
      <c r="S251" s="29" t="n"/>
      <c r="T251" s="27" t="n"/>
      <c r="U251" s="27" t="n"/>
      <c r="V251" s="26">
        <f>IF(OR(AND(E251&lt;&gt;"Up",E251&lt;&gt;"Down"),NOT(ISNUMBER(S251)),IF(E251="Up",Q251,R251)=""),"",IF(S251&gt;=100,"Back to open",IF(OR(IF(E251="Up",Q251,R251)="1-5 min",IF(E251="Up",Q251,R251)="5-15 min"),"Continued",IF(S251&gt;=50,"Partial retrace","Stalled / chop"))))</f>
        <v/>
      </c>
      <c r="W251" s="26">
        <f>IF(OR(Q251="",R251=""),"",IFERROR(IF(AND(Q251="Not by 16:00",R251="Not by 16:00"),"Neither taken",IF(FIND("|"&amp;Q251&amp;"|","|1-5 min|5-15 min|15-60 min|9:30-11:00|11:00-16:00|Not by 16:00|")=FIND("|"&amp;R251&amp;"|","|1-5 min|5-15 min|15-60 min|9:30-11:00|11:00-16:00|Not by 16:00|"),"Same window",IF(FIND("|"&amp;Q251&amp;"|","|1-5 min|5-15 min|15-60 min|9:30-11:00|11:00-16:00|Not by 16:00|")&lt;FIND("|"&amp;R251&amp;"|","|1-5 min|5-15 min|15-60 min|9:30-11:00|11:00-16:00|Not by 16:00|"),IF(E251="Up","High first (main side)",IF(E251="Down","High first (wick side)","High first")),IF(E251="Down","Low first (main side)",IF(E251="Up","Low first (wick side)","Low first"))))),"Check entries"))</f>
        <v/>
      </c>
      <c r="X251" s="28" t="n"/>
      <c r="Y251" s="27" t="n"/>
      <c r="Z251" s="27" t="n"/>
      <c r="AA251" s="27" t="n"/>
      <c r="AB251" s="27" t="n"/>
      <c r="AC251" s="27" t="n"/>
      <c r="AD251" s="27" t="n"/>
      <c r="AE251" s="28" t="n"/>
      <c r="AF251" s="30" t="n"/>
      <c r="AG251" s="27" t="n"/>
    </row>
    <row r="252">
      <c r="A252" s="25" t="n"/>
      <c r="B252" s="26">
        <f>IF(ISNUMBER(A252),TEXT(A252,"ddd"),"")</f>
        <v/>
      </c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8" t="n"/>
      <c r="M252" s="26">
        <f>IF(OR(L252="",AND(E252&lt;&gt;"Up",E252&lt;&gt;"Down")),"",IF(OR(L252="In line",L252="Mixed"),"Neutral data",IF(OR(AND(L252="Hotter",E252="Down"),AND(L252="Cooler",E252="Up")),"With data","Against data")))</f>
        <v/>
      </c>
      <c r="N252" s="28" t="n"/>
      <c r="O252" s="27" t="n"/>
      <c r="P252" s="27" t="n"/>
      <c r="Q252" s="28" t="n"/>
      <c r="R252" s="27" t="n"/>
      <c r="S252" s="29" t="n"/>
      <c r="T252" s="27" t="n"/>
      <c r="U252" s="27" t="n"/>
      <c r="V252" s="26">
        <f>IF(OR(AND(E252&lt;&gt;"Up",E252&lt;&gt;"Down"),NOT(ISNUMBER(S252)),IF(E252="Up",Q252,R252)=""),"",IF(S252&gt;=100,"Back to open",IF(OR(IF(E252="Up",Q252,R252)="1-5 min",IF(E252="Up",Q252,R252)="5-15 min"),"Continued",IF(S252&gt;=50,"Partial retrace","Stalled / chop"))))</f>
        <v/>
      </c>
      <c r="W252" s="26">
        <f>IF(OR(Q252="",R252=""),"",IFERROR(IF(AND(Q252="Not by 16:00",R252="Not by 16:00"),"Neither taken",IF(FIND("|"&amp;Q252&amp;"|","|1-5 min|5-15 min|15-60 min|9:30-11:00|11:00-16:00|Not by 16:00|")=FIND("|"&amp;R252&amp;"|","|1-5 min|5-15 min|15-60 min|9:30-11:00|11:00-16:00|Not by 16:00|"),"Same window",IF(FIND("|"&amp;Q252&amp;"|","|1-5 min|5-15 min|15-60 min|9:30-11:00|11:00-16:00|Not by 16:00|")&lt;FIND("|"&amp;R252&amp;"|","|1-5 min|5-15 min|15-60 min|9:30-11:00|11:00-16:00|Not by 16:00|"),IF(E252="Up","High first (main side)",IF(E252="Down","High first (wick side)","High first")),IF(E252="Down","Low first (main side)",IF(E252="Up","Low first (wick side)","Low first"))))),"Check entries"))</f>
        <v/>
      </c>
      <c r="X252" s="28" t="n"/>
      <c r="Y252" s="27" t="n"/>
      <c r="Z252" s="27" t="n"/>
      <c r="AA252" s="27" t="n"/>
      <c r="AB252" s="27" t="n"/>
      <c r="AC252" s="27" t="n"/>
      <c r="AD252" s="27" t="n"/>
      <c r="AE252" s="28" t="n"/>
      <c r="AF252" s="30" t="n"/>
      <c r="AG252" s="27" t="n"/>
    </row>
    <row r="253">
      <c r="A253" s="25" t="n"/>
      <c r="B253" s="26">
        <f>IF(ISNUMBER(A253),TEXT(A253,"ddd"),"")</f>
        <v/>
      </c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8" t="n"/>
      <c r="M253" s="26">
        <f>IF(OR(L253="",AND(E253&lt;&gt;"Up",E253&lt;&gt;"Down")),"",IF(OR(L253="In line",L253="Mixed"),"Neutral data",IF(OR(AND(L253="Hotter",E253="Down"),AND(L253="Cooler",E253="Up")),"With data","Against data")))</f>
        <v/>
      </c>
      <c r="N253" s="28" t="n"/>
      <c r="O253" s="27" t="n"/>
      <c r="P253" s="27" t="n"/>
      <c r="Q253" s="28" t="n"/>
      <c r="R253" s="27" t="n"/>
      <c r="S253" s="29" t="n"/>
      <c r="T253" s="27" t="n"/>
      <c r="U253" s="27" t="n"/>
      <c r="V253" s="26">
        <f>IF(OR(AND(E253&lt;&gt;"Up",E253&lt;&gt;"Down"),NOT(ISNUMBER(S253)),IF(E253="Up",Q253,R253)=""),"",IF(S253&gt;=100,"Back to open",IF(OR(IF(E253="Up",Q253,R253)="1-5 min",IF(E253="Up",Q253,R253)="5-15 min"),"Continued",IF(S253&gt;=50,"Partial retrace","Stalled / chop"))))</f>
        <v/>
      </c>
      <c r="W253" s="26">
        <f>IF(OR(Q253="",R253=""),"",IFERROR(IF(AND(Q253="Not by 16:00",R253="Not by 16:00"),"Neither taken",IF(FIND("|"&amp;Q253&amp;"|","|1-5 min|5-15 min|15-60 min|9:30-11:00|11:00-16:00|Not by 16:00|")=FIND("|"&amp;R253&amp;"|","|1-5 min|5-15 min|15-60 min|9:30-11:00|11:00-16:00|Not by 16:00|"),"Same window",IF(FIND("|"&amp;Q253&amp;"|","|1-5 min|5-15 min|15-60 min|9:30-11:00|11:00-16:00|Not by 16:00|")&lt;FIND("|"&amp;R253&amp;"|","|1-5 min|5-15 min|15-60 min|9:30-11:00|11:00-16:00|Not by 16:00|"),IF(E253="Up","High first (main side)",IF(E253="Down","High first (wick side)","High first")),IF(E253="Down","Low first (main side)",IF(E253="Up","Low first (wick side)","Low first"))))),"Check entries"))</f>
        <v/>
      </c>
      <c r="X253" s="28" t="n"/>
      <c r="Y253" s="27" t="n"/>
      <c r="Z253" s="27" t="n"/>
      <c r="AA253" s="27" t="n"/>
      <c r="AB253" s="27" t="n"/>
      <c r="AC253" s="27" t="n"/>
      <c r="AD253" s="27" t="n"/>
      <c r="AE253" s="28" t="n"/>
      <c r="AF253" s="30" t="n"/>
      <c r="AG253" s="27" t="n"/>
    </row>
    <row r="254">
      <c r="A254" s="25" t="n"/>
      <c r="B254" s="26">
        <f>IF(ISNUMBER(A254),TEXT(A254,"ddd"),"")</f>
        <v/>
      </c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8" t="n"/>
      <c r="M254" s="26">
        <f>IF(OR(L254="",AND(E254&lt;&gt;"Up",E254&lt;&gt;"Down")),"",IF(OR(L254="In line",L254="Mixed"),"Neutral data",IF(OR(AND(L254="Hotter",E254="Down"),AND(L254="Cooler",E254="Up")),"With data","Against data")))</f>
        <v/>
      </c>
      <c r="N254" s="28" t="n"/>
      <c r="O254" s="27" t="n"/>
      <c r="P254" s="27" t="n"/>
      <c r="Q254" s="28" t="n"/>
      <c r="R254" s="27" t="n"/>
      <c r="S254" s="29" t="n"/>
      <c r="T254" s="27" t="n"/>
      <c r="U254" s="27" t="n"/>
      <c r="V254" s="26">
        <f>IF(OR(AND(E254&lt;&gt;"Up",E254&lt;&gt;"Down"),NOT(ISNUMBER(S254)),IF(E254="Up",Q254,R254)=""),"",IF(S254&gt;=100,"Back to open",IF(OR(IF(E254="Up",Q254,R254)="1-5 min",IF(E254="Up",Q254,R254)="5-15 min"),"Continued",IF(S254&gt;=50,"Partial retrace","Stalled / chop"))))</f>
        <v/>
      </c>
      <c r="W254" s="26">
        <f>IF(OR(Q254="",R254=""),"",IFERROR(IF(AND(Q254="Not by 16:00",R254="Not by 16:00"),"Neither taken",IF(FIND("|"&amp;Q254&amp;"|","|1-5 min|5-15 min|15-60 min|9:30-11:00|11:00-16:00|Not by 16:00|")=FIND("|"&amp;R254&amp;"|","|1-5 min|5-15 min|15-60 min|9:30-11:00|11:00-16:00|Not by 16:00|"),"Same window",IF(FIND("|"&amp;Q254&amp;"|","|1-5 min|5-15 min|15-60 min|9:30-11:00|11:00-16:00|Not by 16:00|")&lt;FIND("|"&amp;R254&amp;"|","|1-5 min|5-15 min|15-60 min|9:30-11:00|11:00-16:00|Not by 16:00|"),IF(E254="Up","High first (main side)",IF(E254="Down","High first (wick side)","High first")),IF(E254="Down","Low first (main side)",IF(E254="Up","Low first (wick side)","Low first"))))),"Check entries"))</f>
        <v/>
      </c>
      <c r="X254" s="28" t="n"/>
      <c r="Y254" s="27" t="n"/>
      <c r="Z254" s="27" t="n"/>
      <c r="AA254" s="27" t="n"/>
      <c r="AB254" s="27" t="n"/>
      <c r="AC254" s="27" t="n"/>
      <c r="AD254" s="27" t="n"/>
      <c r="AE254" s="28" t="n"/>
      <c r="AF254" s="30" t="n"/>
      <c r="AG254" s="27" t="n"/>
    </row>
    <row r="255">
      <c r="A255" s="25" t="n"/>
      <c r="B255" s="26">
        <f>IF(ISNUMBER(A255),TEXT(A255,"ddd"),"")</f>
        <v/>
      </c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8" t="n"/>
      <c r="M255" s="26">
        <f>IF(OR(L255="",AND(E255&lt;&gt;"Up",E255&lt;&gt;"Down")),"",IF(OR(L255="In line",L255="Mixed"),"Neutral data",IF(OR(AND(L255="Hotter",E255="Down"),AND(L255="Cooler",E255="Up")),"With data","Against data")))</f>
        <v/>
      </c>
      <c r="N255" s="28" t="n"/>
      <c r="O255" s="27" t="n"/>
      <c r="P255" s="27" t="n"/>
      <c r="Q255" s="28" t="n"/>
      <c r="R255" s="27" t="n"/>
      <c r="S255" s="29" t="n"/>
      <c r="T255" s="27" t="n"/>
      <c r="U255" s="27" t="n"/>
      <c r="V255" s="26">
        <f>IF(OR(AND(E255&lt;&gt;"Up",E255&lt;&gt;"Down"),NOT(ISNUMBER(S255)),IF(E255="Up",Q255,R255)=""),"",IF(S255&gt;=100,"Back to open",IF(OR(IF(E255="Up",Q255,R255)="1-5 min",IF(E255="Up",Q255,R255)="5-15 min"),"Continued",IF(S255&gt;=50,"Partial retrace","Stalled / chop"))))</f>
        <v/>
      </c>
      <c r="W255" s="26">
        <f>IF(OR(Q255="",R255=""),"",IFERROR(IF(AND(Q255="Not by 16:00",R255="Not by 16:00"),"Neither taken",IF(FIND("|"&amp;Q255&amp;"|","|1-5 min|5-15 min|15-60 min|9:30-11:00|11:00-16:00|Not by 16:00|")=FIND("|"&amp;R255&amp;"|","|1-5 min|5-15 min|15-60 min|9:30-11:00|11:00-16:00|Not by 16:00|"),"Same window",IF(FIND("|"&amp;Q255&amp;"|","|1-5 min|5-15 min|15-60 min|9:30-11:00|11:00-16:00|Not by 16:00|")&lt;FIND("|"&amp;R255&amp;"|","|1-5 min|5-15 min|15-60 min|9:30-11:00|11:00-16:00|Not by 16:00|"),IF(E255="Up","High first (main side)",IF(E255="Down","High first (wick side)","High first")),IF(E255="Down","Low first (main side)",IF(E255="Up","Low first (wick side)","Low first"))))),"Check entries"))</f>
        <v/>
      </c>
      <c r="X255" s="28" t="n"/>
      <c r="Y255" s="27" t="n"/>
      <c r="Z255" s="27" t="n"/>
      <c r="AA255" s="27" t="n"/>
      <c r="AB255" s="27" t="n"/>
      <c r="AC255" s="27" t="n"/>
      <c r="AD255" s="27" t="n"/>
      <c r="AE255" s="28" t="n"/>
      <c r="AF255" s="30" t="n"/>
      <c r="AG255" s="27" t="n"/>
    </row>
    <row r="256">
      <c r="A256" s="25" t="n"/>
      <c r="B256" s="26">
        <f>IF(ISNUMBER(A256),TEXT(A256,"ddd"),"")</f>
        <v/>
      </c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8" t="n"/>
      <c r="M256" s="26">
        <f>IF(OR(L256="",AND(E256&lt;&gt;"Up",E256&lt;&gt;"Down")),"",IF(OR(L256="In line",L256="Mixed"),"Neutral data",IF(OR(AND(L256="Hotter",E256="Down"),AND(L256="Cooler",E256="Up")),"With data","Against data")))</f>
        <v/>
      </c>
      <c r="N256" s="28" t="n"/>
      <c r="O256" s="27" t="n"/>
      <c r="P256" s="27" t="n"/>
      <c r="Q256" s="28" t="n"/>
      <c r="R256" s="27" t="n"/>
      <c r="S256" s="29" t="n"/>
      <c r="T256" s="27" t="n"/>
      <c r="U256" s="27" t="n"/>
      <c r="V256" s="26">
        <f>IF(OR(AND(E256&lt;&gt;"Up",E256&lt;&gt;"Down"),NOT(ISNUMBER(S256)),IF(E256="Up",Q256,R256)=""),"",IF(S256&gt;=100,"Back to open",IF(OR(IF(E256="Up",Q256,R256)="1-5 min",IF(E256="Up",Q256,R256)="5-15 min"),"Continued",IF(S256&gt;=50,"Partial retrace","Stalled / chop"))))</f>
        <v/>
      </c>
      <c r="W256" s="26">
        <f>IF(OR(Q256="",R256=""),"",IFERROR(IF(AND(Q256="Not by 16:00",R256="Not by 16:00"),"Neither taken",IF(FIND("|"&amp;Q256&amp;"|","|1-5 min|5-15 min|15-60 min|9:30-11:00|11:00-16:00|Not by 16:00|")=FIND("|"&amp;R256&amp;"|","|1-5 min|5-15 min|15-60 min|9:30-11:00|11:00-16:00|Not by 16:00|"),"Same window",IF(FIND("|"&amp;Q256&amp;"|","|1-5 min|5-15 min|15-60 min|9:30-11:00|11:00-16:00|Not by 16:00|")&lt;FIND("|"&amp;R256&amp;"|","|1-5 min|5-15 min|15-60 min|9:30-11:00|11:00-16:00|Not by 16:00|"),IF(E256="Up","High first (main side)",IF(E256="Down","High first (wick side)","High first")),IF(E256="Down","Low first (main side)",IF(E256="Up","Low first (wick side)","Low first"))))),"Check entries"))</f>
        <v/>
      </c>
      <c r="X256" s="28" t="n"/>
      <c r="Y256" s="27" t="n"/>
      <c r="Z256" s="27" t="n"/>
      <c r="AA256" s="27" t="n"/>
      <c r="AB256" s="27" t="n"/>
      <c r="AC256" s="27" t="n"/>
      <c r="AD256" s="27" t="n"/>
      <c r="AE256" s="28" t="n"/>
      <c r="AF256" s="30" t="n"/>
      <c r="AG256" s="27" t="n"/>
    </row>
    <row r="257">
      <c r="A257" s="25" t="n"/>
      <c r="B257" s="26">
        <f>IF(ISNUMBER(A257),TEXT(A257,"ddd"),"")</f>
        <v/>
      </c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8" t="n"/>
      <c r="M257" s="26">
        <f>IF(OR(L257="",AND(E257&lt;&gt;"Up",E257&lt;&gt;"Down")),"",IF(OR(L257="In line",L257="Mixed"),"Neutral data",IF(OR(AND(L257="Hotter",E257="Down"),AND(L257="Cooler",E257="Up")),"With data","Against data")))</f>
        <v/>
      </c>
      <c r="N257" s="28" t="n"/>
      <c r="O257" s="27" t="n"/>
      <c r="P257" s="27" t="n"/>
      <c r="Q257" s="28" t="n"/>
      <c r="R257" s="27" t="n"/>
      <c r="S257" s="29" t="n"/>
      <c r="T257" s="27" t="n"/>
      <c r="U257" s="27" t="n"/>
      <c r="V257" s="26">
        <f>IF(OR(AND(E257&lt;&gt;"Up",E257&lt;&gt;"Down"),NOT(ISNUMBER(S257)),IF(E257="Up",Q257,R257)=""),"",IF(S257&gt;=100,"Back to open",IF(OR(IF(E257="Up",Q257,R257)="1-5 min",IF(E257="Up",Q257,R257)="5-15 min"),"Continued",IF(S257&gt;=50,"Partial retrace","Stalled / chop"))))</f>
        <v/>
      </c>
      <c r="W257" s="26">
        <f>IF(OR(Q257="",R257=""),"",IFERROR(IF(AND(Q257="Not by 16:00",R257="Not by 16:00"),"Neither taken",IF(FIND("|"&amp;Q257&amp;"|","|1-5 min|5-15 min|15-60 min|9:30-11:00|11:00-16:00|Not by 16:00|")=FIND("|"&amp;R257&amp;"|","|1-5 min|5-15 min|15-60 min|9:30-11:00|11:00-16:00|Not by 16:00|"),"Same window",IF(FIND("|"&amp;Q257&amp;"|","|1-5 min|5-15 min|15-60 min|9:30-11:00|11:00-16:00|Not by 16:00|")&lt;FIND("|"&amp;R257&amp;"|","|1-5 min|5-15 min|15-60 min|9:30-11:00|11:00-16:00|Not by 16:00|"),IF(E257="Up","High first (main side)",IF(E257="Down","High first (wick side)","High first")),IF(E257="Down","Low first (main side)",IF(E257="Up","Low first (wick side)","Low first"))))),"Check entries"))</f>
        <v/>
      </c>
      <c r="X257" s="28" t="n"/>
      <c r="Y257" s="27" t="n"/>
      <c r="Z257" s="27" t="n"/>
      <c r="AA257" s="27" t="n"/>
      <c r="AB257" s="27" t="n"/>
      <c r="AC257" s="27" t="n"/>
      <c r="AD257" s="27" t="n"/>
      <c r="AE257" s="28" t="n"/>
      <c r="AF257" s="30" t="n"/>
      <c r="AG257" s="27" t="n"/>
    </row>
    <row r="258">
      <c r="A258" s="25" t="n"/>
      <c r="B258" s="26">
        <f>IF(ISNUMBER(A258),TEXT(A258,"ddd"),"")</f>
        <v/>
      </c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8" t="n"/>
      <c r="M258" s="26">
        <f>IF(OR(L258="",AND(E258&lt;&gt;"Up",E258&lt;&gt;"Down")),"",IF(OR(L258="In line",L258="Mixed"),"Neutral data",IF(OR(AND(L258="Hotter",E258="Down"),AND(L258="Cooler",E258="Up")),"With data","Against data")))</f>
        <v/>
      </c>
      <c r="N258" s="28" t="n"/>
      <c r="O258" s="27" t="n"/>
      <c r="P258" s="27" t="n"/>
      <c r="Q258" s="28" t="n"/>
      <c r="R258" s="27" t="n"/>
      <c r="S258" s="29" t="n"/>
      <c r="T258" s="27" t="n"/>
      <c r="U258" s="27" t="n"/>
      <c r="V258" s="26">
        <f>IF(OR(AND(E258&lt;&gt;"Up",E258&lt;&gt;"Down"),NOT(ISNUMBER(S258)),IF(E258="Up",Q258,R258)=""),"",IF(S258&gt;=100,"Back to open",IF(OR(IF(E258="Up",Q258,R258)="1-5 min",IF(E258="Up",Q258,R258)="5-15 min"),"Continued",IF(S258&gt;=50,"Partial retrace","Stalled / chop"))))</f>
        <v/>
      </c>
      <c r="W258" s="26">
        <f>IF(OR(Q258="",R258=""),"",IFERROR(IF(AND(Q258="Not by 16:00",R258="Not by 16:00"),"Neither taken",IF(FIND("|"&amp;Q258&amp;"|","|1-5 min|5-15 min|15-60 min|9:30-11:00|11:00-16:00|Not by 16:00|")=FIND("|"&amp;R258&amp;"|","|1-5 min|5-15 min|15-60 min|9:30-11:00|11:00-16:00|Not by 16:00|"),"Same window",IF(FIND("|"&amp;Q258&amp;"|","|1-5 min|5-15 min|15-60 min|9:30-11:00|11:00-16:00|Not by 16:00|")&lt;FIND("|"&amp;R258&amp;"|","|1-5 min|5-15 min|15-60 min|9:30-11:00|11:00-16:00|Not by 16:00|"),IF(E258="Up","High first (main side)",IF(E258="Down","High first (wick side)","High first")),IF(E258="Down","Low first (main side)",IF(E258="Up","Low first (wick side)","Low first"))))),"Check entries"))</f>
        <v/>
      </c>
      <c r="X258" s="28" t="n"/>
      <c r="Y258" s="27" t="n"/>
      <c r="Z258" s="27" t="n"/>
      <c r="AA258" s="27" t="n"/>
      <c r="AB258" s="27" t="n"/>
      <c r="AC258" s="27" t="n"/>
      <c r="AD258" s="27" t="n"/>
      <c r="AE258" s="28" t="n"/>
      <c r="AF258" s="30" t="n"/>
      <c r="AG258" s="27" t="n"/>
    </row>
    <row r="259">
      <c r="A259" s="25" t="n"/>
      <c r="B259" s="26">
        <f>IF(ISNUMBER(A259),TEXT(A259,"ddd"),"")</f>
        <v/>
      </c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8" t="n"/>
      <c r="M259" s="26">
        <f>IF(OR(L259="",AND(E259&lt;&gt;"Up",E259&lt;&gt;"Down")),"",IF(OR(L259="In line",L259="Mixed"),"Neutral data",IF(OR(AND(L259="Hotter",E259="Down"),AND(L259="Cooler",E259="Up")),"With data","Against data")))</f>
        <v/>
      </c>
      <c r="N259" s="28" t="n"/>
      <c r="O259" s="27" t="n"/>
      <c r="P259" s="27" t="n"/>
      <c r="Q259" s="28" t="n"/>
      <c r="R259" s="27" t="n"/>
      <c r="S259" s="29" t="n"/>
      <c r="T259" s="27" t="n"/>
      <c r="U259" s="27" t="n"/>
      <c r="V259" s="26">
        <f>IF(OR(AND(E259&lt;&gt;"Up",E259&lt;&gt;"Down"),NOT(ISNUMBER(S259)),IF(E259="Up",Q259,R259)=""),"",IF(S259&gt;=100,"Back to open",IF(OR(IF(E259="Up",Q259,R259)="1-5 min",IF(E259="Up",Q259,R259)="5-15 min"),"Continued",IF(S259&gt;=50,"Partial retrace","Stalled / chop"))))</f>
        <v/>
      </c>
      <c r="W259" s="26">
        <f>IF(OR(Q259="",R259=""),"",IFERROR(IF(AND(Q259="Not by 16:00",R259="Not by 16:00"),"Neither taken",IF(FIND("|"&amp;Q259&amp;"|","|1-5 min|5-15 min|15-60 min|9:30-11:00|11:00-16:00|Not by 16:00|")=FIND("|"&amp;R259&amp;"|","|1-5 min|5-15 min|15-60 min|9:30-11:00|11:00-16:00|Not by 16:00|"),"Same window",IF(FIND("|"&amp;Q259&amp;"|","|1-5 min|5-15 min|15-60 min|9:30-11:00|11:00-16:00|Not by 16:00|")&lt;FIND("|"&amp;R259&amp;"|","|1-5 min|5-15 min|15-60 min|9:30-11:00|11:00-16:00|Not by 16:00|"),IF(E259="Up","High first (main side)",IF(E259="Down","High first (wick side)","High first")),IF(E259="Down","Low first (main side)",IF(E259="Up","Low first (wick side)","Low first"))))),"Check entries"))</f>
        <v/>
      </c>
      <c r="X259" s="28" t="n"/>
      <c r="Y259" s="27" t="n"/>
      <c r="Z259" s="27" t="n"/>
      <c r="AA259" s="27" t="n"/>
      <c r="AB259" s="27" t="n"/>
      <c r="AC259" s="27" t="n"/>
      <c r="AD259" s="27" t="n"/>
      <c r="AE259" s="28" t="n"/>
      <c r="AF259" s="30" t="n"/>
      <c r="AG259" s="27" t="n"/>
    </row>
    <row r="260">
      <c r="A260" s="25" t="n"/>
      <c r="B260" s="26">
        <f>IF(ISNUMBER(A260),TEXT(A260,"ddd"),"")</f>
        <v/>
      </c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8" t="n"/>
      <c r="M260" s="26">
        <f>IF(OR(L260="",AND(E260&lt;&gt;"Up",E260&lt;&gt;"Down")),"",IF(OR(L260="In line",L260="Mixed"),"Neutral data",IF(OR(AND(L260="Hotter",E260="Down"),AND(L260="Cooler",E260="Up")),"With data","Against data")))</f>
        <v/>
      </c>
      <c r="N260" s="28" t="n"/>
      <c r="O260" s="27" t="n"/>
      <c r="P260" s="27" t="n"/>
      <c r="Q260" s="28" t="n"/>
      <c r="R260" s="27" t="n"/>
      <c r="S260" s="29" t="n"/>
      <c r="T260" s="27" t="n"/>
      <c r="U260" s="27" t="n"/>
      <c r="V260" s="26">
        <f>IF(OR(AND(E260&lt;&gt;"Up",E260&lt;&gt;"Down"),NOT(ISNUMBER(S260)),IF(E260="Up",Q260,R260)=""),"",IF(S260&gt;=100,"Back to open",IF(OR(IF(E260="Up",Q260,R260)="1-5 min",IF(E260="Up",Q260,R260)="5-15 min"),"Continued",IF(S260&gt;=50,"Partial retrace","Stalled / chop"))))</f>
        <v/>
      </c>
      <c r="W260" s="26">
        <f>IF(OR(Q260="",R260=""),"",IFERROR(IF(AND(Q260="Not by 16:00",R260="Not by 16:00"),"Neither taken",IF(FIND("|"&amp;Q260&amp;"|","|1-5 min|5-15 min|15-60 min|9:30-11:00|11:00-16:00|Not by 16:00|")=FIND("|"&amp;R260&amp;"|","|1-5 min|5-15 min|15-60 min|9:30-11:00|11:00-16:00|Not by 16:00|"),"Same window",IF(FIND("|"&amp;Q260&amp;"|","|1-5 min|5-15 min|15-60 min|9:30-11:00|11:00-16:00|Not by 16:00|")&lt;FIND("|"&amp;R260&amp;"|","|1-5 min|5-15 min|15-60 min|9:30-11:00|11:00-16:00|Not by 16:00|"),IF(E260="Up","High first (main side)",IF(E260="Down","High first (wick side)","High first")),IF(E260="Down","Low first (main side)",IF(E260="Up","Low first (wick side)","Low first"))))),"Check entries"))</f>
        <v/>
      </c>
      <c r="X260" s="28" t="n"/>
      <c r="Y260" s="27" t="n"/>
      <c r="Z260" s="27" t="n"/>
      <c r="AA260" s="27" t="n"/>
      <c r="AB260" s="27" t="n"/>
      <c r="AC260" s="27" t="n"/>
      <c r="AD260" s="27" t="n"/>
      <c r="AE260" s="28" t="n"/>
      <c r="AF260" s="30" t="n"/>
      <c r="AG260" s="27" t="n"/>
    </row>
    <row r="261">
      <c r="A261" s="25" t="n"/>
      <c r="B261" s="26">
        <f>IF(ISNUMBER(A261),TEXT(A261,"ddd"),"")</f>
        <v/>
      </c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8" t="n"/>
      <c r="M261" s="26">
        <f>IF(OR(L261="",AND(E261&lt;&gt;"Up",E261&lt;&gt;"Down")),"",IF(OR(L261="In line",L261="Mixed"),"Neutral data",IF(OR(AND(L261="Hotter",E261="Down"),AND(L261="Cooler",E261="Up")),"With data","Against data")))</f>
        <v/>
      </c>
      <c r="N261" s="28" t="n"/>
      <c r="O261" s="27" t="n"/>
      <c r="P261" s="27" t="n"/>
      <c r="Q261" s="28" t="n"/>
      <c r="R261" s="27" t="n"/>
      <c r="S261" s="29" t="n"/>
      <c r="T261" s="27" t="n"/>
      <c r="U261" s="27" t="n"/>
      <c r="V261" s="26">
        <f>IF(OR(AND(E261&lt;&gt;"Up",E261&lt;&gt;"Down"),NOT(ISNUMBER(S261)),IF(E261="Up",Q261,R261)=""),"",IF(S261&gt;=100,"Back to open",IF(OR(IF(E261="Up",Q261,R261)="1-5 min",IF(E261="Up",Q261,R261)="5-15 min"),"Continued",IF(S261&gt;=50,"Partial retrace","Stalled / chop"))))</f>
        <v/>
      </c>
      <c r="W261" s="26">
        <f>IF(OR(Q261="",R261=""),"",IFERROR(IF(AND(Q261="Not by 16:00",R261="Not by 16:00"),"Neither taken",IF(FIND("|"&amp;Q261&amp;"|","|1-5 min|5-15 min|15-60 min|9:30-11:00|11:00-16:00|Not by 16:00|")=FIND("|"&amp;R261&amp;"|","|1-5 min|5-15 min|15-60 min|9:30-11:00|11:00-16:00|Not by 16:00|"),"Same window",IF(FIND("|"&amp;Q261&amp;"|","|1-5 min|5-15 min|15-60 min|9:30-11:00|11:00-16:00|Not by 16:00|")&lt;FIND("|"&amp;R261&amp;"|","|1-5 min|5-15 min|15-60 min|9:30-11:00|11:00-16:00|Not by 16:00|"),IF(E261="Up","High first (main side)",IF(E261="Down","High first (wick side)","High first")),IF(E261="Down","Low first (main side)",IF(E261="Up","Low first (wick side)","Low first"))))),"Check entries"))</f>
        <v/>
      </c>
      <c r="X261" s="28" t="n"/>
      <c r="Y261" s="27" t="n"/>
      <c r="Z261" s="27" t="n"/>
      <c r="AA261" s="27" t="n"/>
      <c r="AB261" s="27" t="n"/>
      <c r="AC261" s="27" t="n"/>
      <c r="AD261" s="27" t="n"/>
      <c r="AE261" s="28" t="n"/>
      <c r="AF261" s="30" t="n"/>
      <c r="AG261" s="27" t="n"/>
    </row>
    <row r="262">
      <c r="A262" s="25" t="n"/>
      <c r="B262" s="26">
        <f>IF(ISNUMBER(A262),TEXT(A262,"ddd"),"")</f>
        <v/>
      </c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8" t="n"/>
      <c r="M262" s="26">
        <f>IF(OR(L262="",AND(E262&lt;&gt;"Up",E262&lt;&gt;"Down")),"",IF(OR(L262="In line",L262="Mixed"),"Neutral data",IF(OR(AND(L262="Hotter",E262="Down"),AND(L262="Cooler",E262="Up")),"With data","Against data")))</f>
        <v/>
      </c>
      <c r="N262" s="28" t="n"/>
      <c r="O262" s="27" t="n"/>
      <c r="P262" s="27" t="n"/>
      <c r="Q262" s="28" t="n"/>
      <c r="R262" s="27" t="n"/>
      <c r="S262" s="29" t="n"/>
      <c r="T262" s="27" t="n"/>
      <c r="U262" s="27" t="n"/>
      <c r="V262" s="26">
        <f>IF(OR(AND(E262&lt;&gt;"Up",E262&lt;&gt;"Down"),NOT(ISNUMBER(S262)),IF(E262="Up",Q262,R262)=""),"",IF(S262&gt;=100,"Back to open",IF(OR(IF(E262="Up",Q262,R262)="1-5 min",IF(E262="Up",Q262,R262)="5-15 min"),"Continued",IF(S262&gt;=50,"Partial retrace","Stalled / chop"))))</f>
        <v/>
      </c>
      <c r="W262" s="26">
        <f>IF(OR(Q262="",R262=""),"",IFERROR(IF(AND(Q262="Not by 16:00",R262="Not by 16:00"),"Neither taken",IF(FIND("|"&amp;Q262&amp;"|","|1-5 min|5-15 min|15-60 min|9:30-11:00|11:00-16:00|Not by 16:00|")=FIND("|"&amp;R262&amp;"|","|1-5 min|5-15 min|15-60 min|9:30-11:00|11:00-16:00|Not by 16:00|"),"Same window",IF(FIND("|"&amp;Q262&amp;"|","|1-5 min|5-15 min|15-60 min|9:30-11:00|11:00-16:00|Not by 16:00|")&lt;FIND("|"&amp;R262&amp;"|","|1-5 min|5-15 min|15-60 min|9:30-11:00|11:00-16:00|Not by 16:00|"),IF(E262="Up","High first (main side)",IF(E262="Down","High first (wick side)","High first")),IF(E262="Down","Low first (main side)",IF(E262="Up","Low first (wick side)","Low first"))))),"Check entries"))</f>
        <v/>
      </c>
      <c r="X262" s="28" t="n"/>
      <c r="Y262" s="27" t="n"/>
      <c r="Z262" s="27" t="n"/>
      <c r="AA262" s="27" t="n"/>
      <c r="AB262" s="27" t="n"/>
      <c r="AC262" s="27" t="n"/>
      <c r="AD262" s="27" t="n"/>
      <c r="AE262" s="28" t="n"/>
      <c r="AF262" s="30" t="n"/>
      <c r="AG262" s="27" t="n"/>
    </row>
    <row r="263">
      <c r="A263" s="25" t="n"/>
      <c r="B263" s="26">
        <f>IF(ISNUMBER(A263),TEXT(A263,"ddd"),"")</f>
        <v/>
      </c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8" t="n"/>
      <c r="M263" s="26">
        <f>IF(OR(L263="",AND(E263&lt;&gt;"Up",E263&lt;&gt;"Down")),"",IF(OR(L263="In line",L263="Mixed"),"Neutral data",IF(OR(AND(L263="Hotter",E263="Down"),AND(L263="Cooler",E263="Up")),"With data","Against data")))</f>
        <v/>
      </c>
      <c r="N263" s="28" t="n"/>
      <c r="O263" s="27" t="n"/>
      <c r="P263" s="27" t="n"/>
      <c r="Q263" s="28" t="n"/>
      <c r="R263" s="27" t="n"/>
      <c r="S263" s="29" t="n"/>
      <c r="T263" s="27" t="n"/>
      <c r="U263" s="27" t="n"/>
      <c r="V263" s="26">
        <f>IF(OR(AND(E263&lt;&gt;"Up",E263&lt;&gt;"Down"),NOT(ISNUMBER(S263)),IF(E263="Up",Q263,R263)=""),"",IF(S263&gt;=100,"Back to open",IF(OR(IF(E263="Up",Q263,R263)="1-5 min",IF(E263="Up",Q263,R263)="5-15 min"),"Continued",IF(S263&gt;=50,"Partial retrace","Stalled / chop"))))</f>
        <v/>
      </c>
      <c r="W263" s="26">
        <f>IF(OR(Q263="",R263=""),"",IFERROR(IF(AND(Q263="Not by 16:00",R263="Not by 16:00"),"Neither taken",IF(FIND("|"&amp;Q263&amp;"|","|1-5 min|5-15 min|15-60 min|9:30-11:00|11:00-16:00|Not by 16:00|")=FIND("|"&amp;R263&amp;"|","|1-5 min|5-15 min|15-60 min|9:30-11:00|11:00-16:00|Not by 16:00|"),"Same window",IF(FIND("|"&amp;Q263&amp;"|","|1-5 min|5-15 min|15-60 min|9:30-11:00|11:00-16:00|Not by 16:00|")&lt;FIND("|"&amp;R263&amp;"|","|1-5 min|5-15 min|15-60 min|9:30-11:00|11:00-16:00|Not by 16:00|"),IF(E263="Up","High first (main side)",IF(E263="Down","High first (wick side)","High first")),IF(E263="Down","Low first (main side)",IF(E263="Up","Low first (wick side)","Low first"))))),"Check entries"))</f>
        <v/>
      </c>
      <c r="X263" s="28" t="n"/>
      <c r="Y263" s="27" t="n"/>
      <c r="Z263" s="27" t="n"/>
      <c r="AA263" s="27" t="n"/>
      <c r="AB263" s="27" t="n"/>
      <c r="AC263" s="27" t="n"/>
      <c r="AD263" s="27" t="n"/>
      <c r="AE263" s="28" t="n"/>
      <c r="AF263" s="30" t="n"/>
      <c r="AG263" s="27" t="n"/>
    </row>
    <row r="264">
      <c r="A264" s="25" t="n"/>
      <c r="B264" s="26">
        <f>IF(ISNUMBER(A264),TEXT(A264,"ddd"),"")</f>
        <v/>
      </c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8" t="n"/>
      <c r="M264" s="26">
        <f>IF(OR(L264="",AND(E264&lt;&gt;"Up",E264&lt;&gt;"Down")),"",IF(OR(L264="In line",L264="Mixed"),"Neutral data",IF(OR(AND(L264="Hotter",E264="Down"),AND(L264="Cooler",E264="Up")),"With data","Against data")))</f>
        <v/>
      </c>
      <c r="N264" s="28" t="n"/>
      <c r="O264" s="27" t="n"/>
      <c r="P264" s="27" t="n"/>
      <c r="Q264" s="28" t="n"/>
      <c r="R264" s="27" t="n"/>
      <c r="S264" s="29" t="n"/>
      <c r="T264" s="27" t="n"/>
      <c r="U264" s="27" t="n"/>
      <c r="V264" s="26">
        <f>IF(OR(AND(E264&lt;&gt;"Up",E264&lt;&gt;"Down"),NOT(ISNUMBER(S264)),IF(E264="Up",Q264,R264)=""),"",IF(S264&gt;=100,"Back to open",IF(OR(IF(E264="Up",Q264,R264)="1-5 min",IF(E264="Up",Q264,R264)="5-15 min"),"Continued",IF(S264&gt;=50,"Partial retrace","Stalled / chop"))))</f>
        <v/>
      </c>
      <c r="W264" s="26">
        <f>IF(OR(Q264="",R264=""),"",IFERROR(IF(AND(Q264="Not by 16:00",R264="Not by 16:00"),"Neither taken",IF(FIND("|"&amp;Q264&amp;"|","|1-5 min|5-15 min|15-60 min|9:30-11:00|11:00-16:00|Not by 16:00|")=FIND("|"&amp;R264&amp;"|","|1-5 min|5-15 min|15-60 min|9:30-11:00|11:00-16:00|Not by 16:00|"),"Same window",IF(FIND("|"&amp;Q264&amp;"|","|1-5 min|5-15 min|15-60 min|9:30-11:00|11:00-16:00|Not by 16:00|")&lt;FIND("|"&amp;R264&amp;"|","|1-5 min|5-15 min|15-60 min|9:30-11:00|11:00-16:00|Not by 16:00|"),IF(E264="Up","High first (main side)",IF(E264="Down","High first (wick side)","High first")),IF(E264="Down","Low first (main side)",IF(E264="Up","Low first (wick side)","Low first"))))),"Check entries"))</f>
        <v/>
      </c>
      <c r="X264" s="28" t="n"/>
      <c r="Y264" s="27" t="n"/>
      <c r="Z264" s="27" t="n"/>
      <c r="AA264" s="27" t="n"/>
      <c r="AB264" s="27" t="n"/>
      <c r="AC264" s="27" t="n"/>
      <c r="AD264" s="27" t="n"/>
      <c r="AE264" s="28" t="n"/>
      <c r="AF264" s="30" t="n"/>
      <c r="AG264" s="27" t="n"/>
    </row>
    <row r="265">
      <c r="A265" s="25" t="n"/>
      <c r="B265" s="26">
        <f>IF(ISNUMBER(A265),TEXT(A265,"ddd"),"")</f>
        <v/>
      </c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8" t="n"/>
      <c r="M265" s="26">
        <f>IF(OR(L265="",AND(E265&lt;&gt;"Up",E265&lt;&gt;"Down")),"",IF(OR(L265="In line",L265="Mixed"),"Neutral data",IF(OR(AND(L265="Hotter",E265="Down"),AND(L265="Cooler",E265="Up")),"With data","Against data")))</f>
        <v/>
      </c>
      <c r="N265" s="28" t="n"/>
      <c r="O265" s="27" t="n"/>
      <c r="P265" s="27" t="n"/>
      <c r="Q265" s="28" t="n"/>
      <c r="R265" s="27" t="n"/>
      <c r="S265" s="29" t="n"/>
      <c r="T265" s="27" t="n"/>
      <c r="U265" s="27" t="n"/>
      <c r="V265" s="26">
        <f>IF(OR(AND(E265&lt;&gt;"Up",E265&lt;&gt;"Down"),NOT(ISNUMBER(S265)),IF(E265="Up",Q265,R265)=""),"",IF(S265&gt;=100,"Back to open",IF(OR(IF(E265="Up",Q265,R265)="1-5 min",IF(E265="Up",Q265,R265)="5-15 min"),"Continued",IF(S265&gt;=50,"Partial retrace","Stalled / chop"))))</f>
        <v/>
      </c>
      <c r="W265" s="26">
        <f>IF(OR(Q265="",R265=""),"",IFERROR(IF(AND(Q265="Not by 16:00",R265="Not by 16:00"),"Neither taken",IF(FIND("|"&amp;Q265&amp;"|","|1-5 min|5-15 min|15-60 min|9:30-11:00|11:00-16:00|Not by 16:00|")=FIND("|"&amp;R265&amp;"|","|1-5 min|5-15 min|15-60 min|9:30-11:00|11:00-16:00|Not by 16:00|"),"Same window",IF(FIND("|"&amp;Q265&amp;"|","|1-5 min|5-15 min|15-60 min|9:30-11:00|11:00-16:00|Not by 16:00|")&lt;FIND("|"&amp;R265&amp;"|","|1-5 min|5-15 min|15-60 min|9:30-11:00|11:00-16:00|Not by 16:00|"),IF(E265="Up","High first (main side)",IF(E265="Down","High first (wick side)","High first")),IF(E265="Down","Low first (main side)",IF(E265="Up","Low first (wick side)","Low first"))))),"Check entries"))</f>
        <v/>
      </c>
      <c r="X265" s="28" t="n"/>
      <c r="Y265" s="27" t="n"/>
      <c r="Z265" s="27" t="n"/>
      <c r="AA265" s="27" t="n"/>
      <c r="AB265" s="27" t="n"/>
      <c r="AC265" s="27" t="n"/>
      <c r="AD265" s="27" t="n"/>
      <c r="AE265" s="28" t="n"/>
      <c r="AF265" s="30" t="n"/>
      <c r="AG265" s="27" t="n"/>
    </row>
    <row r="266">
      <c r="A266" s="25" t="n"/>
      <c r="B266" s="26">
        <f>IF(ISNUMBER(A266),TEXT(A266,"ddd"),"")</f>
        <v/>
      </c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8" t="n"/>
      <c r="M266" s="26">
        <f>IF(OR(L266="",AND(E266&lt;&gt;"Up",E266&lt;&gt;"Down")),"",IF(OR(L266="In line",L266="Mixed"),"Neutral data",IF(OR(AND(L266="Hotter",E266="Down"),AND(L266="Cooler",E266="Up")),"With data","Against data")))</f>
        <v/>
      </c>
      <c r="N266" s="28" t="n"/>
      <c r="O266" s="27" t="n"/>
      <c r="P266" s="27" t="n"/>
      <c r="Q266" s="28" t="n"/>
      <c r="R266" s="27" t="n"/>
      <c r="S266" s="29" t="n"/>
      <c r="T266" s="27" t="n"/>
      <c r="U266" s="27" t="n"/>
      <c r="V266" s="26">
        <f>IF(OR(AND(E266&lt;&gt;"Up",E266&lt;&gt;"Down"),NOT(ISNUMBER(S266)),IF(E266="Up",Q266,R266)=""),"",IF(S266&gt;=100,"Back to open",IF(OR(IF(E266="Up",Q266,R266)="1-5 min",IF(E266="Up",Q266,R266)="5-15 min"),"Continued",IF(S266&gt;=50,"Partial retrace","Stalled / chop"))))</f>
        <v/>
      </c>
      <c r="W266" s="26">
        <f>IF(OR(Q266="",R266=""),"",IFERROR(IF(AND(Q266="Not by 16:00",R266="Not by 16:00"),"Neither taken",IF(FIND("|"&amp;Q266&amp;"|","|1-5 min|5-15 min|15-60 min|9:30-11:00|11:00-16:00|Not by 16:00|")=FIND("|"&amp;R266&amp;"|","|1-5 min|5-15 min|15-60 min|9:30-11:00|11:00-16:00|Not by 16:00|"),"Same window",IF(FIND("|"&amp;Q266&amp;"|","|1-5 min|5-15 min|15-60 min|9:30-11:00|11:00-16:00|Not by 16:00|")&lt;FIND("|"&amp;R266&amp;"|","|1-5 min|5-15 min|15-60 min|9:30-11:00|11:00-16:00|Not by 16:00|"),IF(E266="Up","High first (main side)",IF(E266="Down","High first (wick side)","High first")),IF(E266="Down","Low first (main side)",IF(E266="Up","Low first (wick side)","Low first"))))),"Check entries"))</f>
        <v/>
      </c>
      <c r="X266" s="28" t="n"/>
      <c r="Y266" s="27" t="n"/>
      <c r="Z266" s="27" t="n"/>
      <c r="AA266" s="27" t="n"/>
      <c r="AB266" s="27" t="n"/>
      <c r="AC266" s="27" t="n"/>
      <c r="AD266" s="27" t="n"/>
      <c r="AE266" s="28" t="n"/>
      <c r="AF266" s="30" t="n"/>
      <c r="AG266" s="27" t="n"/>
    </row>
    <row r="267">
      <c r="A267" s="25" t="n"/>
      <c r="B267" s="26">
        <f>IF(ISNUMBER(A267),TEXT(A267,"ddd"),"")</f>
        <v/>
      </c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8" t="n"/>
      <c r="M267" s="26">
        <f>IF(OR(L267="",AND(E267&lt;&gt;"Up",E267&lt;&gt;"Down")),"",IF(OR(L267="In line",L267="Mixed"),"Neutral data",IF(OR(AND(L267="Hotter",E267="Down"),AND(L267="Cooler",E267="Up")),"With data","Against data")))</f>
        <v/>
      </c>
      <c r="N267" s="28" t="n"/>
      <c r="O267" s="27" t="n"/>
      <c r="P267" s="27" t="n"/>
      <c r="Q267" s="28" t="n"/>
      <c r="R267" s="27" t="n"/>
      <c r="S267" s="29" t="n"/>
      <c r="T267" s="27" t="n"/>
      <c r="U267" s="27" t="n"/>
      <c r="V267" s="26">
        <f>IF(OR(AND(E267&lt;&gt;"Up",E267&lt;&gt;"Down"),NOT(ISNUMBER(S267)),IF(E267="Up",Q267,R267)=""),"",IF(S267&gt;=100,"Back to open",IF(OR(IF(E267="Up",Q267,R267)="1-5 min",IF(E267="Up",Q267,R267)="5-15 min"),"Continued",IF(S267&gt;=50,"Partial retrace","Stalled / chop"))))</f>
        <v/>
      </c>
      <c r="W267" s="26">
        <f>IF(OR(Q267="",R267=""),"",IFERROR(IF(AND(Q267="Not by 16:00",R267="Not by 16:00"),"Neither taken",IF(FIND("|"&amp;Q267&amp;"|","|1-5 min|5-15 min|15-60 min|9:30-11:00|11:00-16:00|Not by 16:00|")=FIND("|"&amp;R267&amp;"|","|1-5 min|5-15 min|15-60 min|9:30-11:00|11:00-16:00|Not by 16:00|"),"Same window",IF(FIND("|"&amp;Q267&amp;"|","|1-5 min|5-15 min|15-60 min|9:30-11:00|11:00-16:00|Not by 16:00|")&lt;FIND("|"&amp;R267&amp;"|","|1-5 min|5-15 min|15-60 min|9:30-11:00|11:00-16:00|Not by 16:00|"),IF(E267="Up","High first (main side)",IF(E267="Down","High first (wick side)","High first")),IF(E267="Down","Low first (main side)",IF(E267="Up","Low first (wick side)","Low first"))))),"Check entries"))</f>
        <v/>
      </c>
      <c r="X267" s="28" t="n"/>
      <c r="Y267" s="27" t="n"/>
      <c r="Z267" s="27" t="n"/>
      <c r="AA267" s="27" t="n"/>
      <c r="AB267" s="27" t="n"/>
      <c r="AC267" s="27" t="n"/>
      <c r="AD267" s="27" t="n"/>
      <c r="AE267" s="28" t="n"/>
      <c r="AF267" s="30" t="n"/>
      <c r="AG267" s="27" t="n"/>
    </row>
    <row r="268">
      <c r="A268" s="25" t="n"/>
      <c r="B268" s="26">
        <f>IF(ISNUMBER(A268),TEXT(A268,"ddd"),"")</f>
        <v/>
      </c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8" t="n"/>
      <c r="M268" s="26">
        <f>IF(OR(L268="",AND(E268&lt;&gt;"Up",E268&lt;&gt;"Down")),"",IF(OR(L268="In line",L268="Mixed"),"Neutral data",IF(OR(AND(L268="Hotter",E268="Down"),AND(L268="Cooler",E268="Up")),"With data","Against data")))</f>
        <v/>
      </c>
      <c r="N268" s="28" t="n"/>
      <c r="O268" s="27" t="n"/>
      <c r="P268" s="27" t="n"/>
      <c r="Q268" s="28" t="n"/>
      <c r="R268" s="27" t="n"/>
      <c r="S268" s="29" t="n"/>
      <c r="T268" s="27" t="n"/>
      <c r="U268" s="27" t="n"/>
      <c r="V268" s="26">
        <f>IF(OR(AND(E268&lt;&gt;"Up",E268&lt;&gt;"Down"),NOT(ISNUMBER(S268)),IF(E268="Up",Q268,R268)=""),"",IF(S268&gt;=100,"Back to open",IF(OR(IF(E268="Up",Q268,R268)="1-5 min",IF(E268="Up",Q268,R268)="5-15 min"),"Continued",IF(S268&gt;=50,"Partial retrace","Stalled / chop"))))</f>
        <v/>
      </c>
      <c r="W268" s="26">
        <f>IF(OR(Q268="",R268=""),"",IFERROR(IF(AND(Q268="Not by 16:00",R268="Not by 16:00"),"Neither taken",IF(FIND("|"&amp;Q268&amp;"|","|1-5 min|5-15 min|15-60 min|9:30-11:00|11:00-16:00|Not by 16:00|")=FIND("|"&amp;R268&amp;"|","|1-5 min|5-15 min|15-60 min|9:30-11:00|11:00-16:00|Not by 16:00|"),"Same window",IF(FIND("|"&amp;Q268&amp;"|","|1-5 min|5-15 min|15-60 min|9:30-11:00|11:00-16:00|Not by 16:00|")&lt;FIND("|"&amp;R268&amp;"|","|1-5 min|5-15 min|15-60 min|9:30-11:00|11:00-16:00|Not by 16:00|"),IF(E268="Up","High first (main side)",IF(E268="Down","High first (wick side)","High first")),IF(E268="Down","Low first (main side)",IF(E268="Up","Low first (wick side)","Low first"))))),"Check entries"))</f>
        <v/>
      </c>
      <c r="X268" s="28" t="n"/>
      <c r="Y268" s="27" t="n"/>
      <c r="Z268" s="27" t="n"/>
      <c r="AA268" s="27" t="n"/>
      <c r="AB268" s="27" t="n"/>
      <c r="AC268" s="27" t="n"/>
      <c r="AD268" s="27" t="n"/>
      <c r="AE268" s="28" t="n"/>
      <c r="AF268" s="30" t="n"/>
      <c r="AG268" s="27" t="n"/>
    </row>
    <row r="269">
      <c r="A269" s="25" t="n"/>
      <c r="B269" s="26">
        <f>IF(ISNUMBER(A269),TEXT(A269,"ddd"),"")</f>
        <v/>
      </c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8" t="n"/>
      <c r="M269" s="26">
        <f>IF(OR(L269="",AND(E269&lt;&gt;"Up",E269&lt;&gt;"Down")),"",IF(OR(L269="In line",L269="Mixed"),"Neutral data",IF(OR(AND(L269="Hotter",E269="Down"),AND(L269="Cooler",E269="Up")),"With data","Against data")))</f>
        <v/>
      </c>
      <c r="N269" s="28" t="n"/>
      <c r="O269" s="27" t="n"/>
      <c r="P269" s="27" t="n"/>
      <c r="Q269" s="28" t="n"/>
      <c r="R269" s="27" t="n"/>
      <c r="S269" s="29" t="n"/>
      <c r="T269" s="27" t="n"/>
      <c r="U269" s="27" t="n"/>
      <c r="V269" s="26">
        <f>IF(OR(AND(E269&lt;&gt;"Up",E269&lt;&gt;"Down"),NOT(ISNUMBER(S269)),IF(E269="Up",Q269,R269)=""),"",IF(S269&gt;=100,"Back to open",IF(OR(IF(E269="Up",Q269,R269)="1-5 min",IF(E269="Up",Q269,R269)="5-15 min"),"Continued",IF(S269&gt;=50,"Partial retrace","Stalled / chop"))))</f>
        <v/>
      </c>
      <c r="W269" s="26">
        <f>IF(OR(Q269="",R269=""),"",IFERROR(IF(AND(Q269="Not by 16:00",R269="Not by 16:00"),"Neither taken",IF(FIND("|"&amp;Q269&amp;"|","|1-5 min|5-15 min|15-60 min|9:30-11:00|11:00-16:00|Not by 16:00|")=FIND("|"&amp;R269&amp;"|","|1-5 min|5-15 min|15-60 min|9:30-11:00|11:00-16:00|Not by 16:00|"),"Same window",IF(FIND("|"&amp;Q269&amp;"|","|1-5 min|5-15 min|15-60 min|9:30-11:00|11:00-16:00|Not by 16:00|")&lt;FIND("|"&amp;R269&amp;"|","|1-5 min|5-15 min|15-60 min|9:30-11:00|11:00-16:00|Not by 16:00|"),IF(E269="Up","High first (main side)",IF(E269="Down","High first (wick side)","High first")),IF(E269="Down","Low first (main side)",IF(E269="Up","Low first (wick side)","Low first"))))),"Check entries"))</f>
        <v/>
      </c>
      <c r="X269" s="28" t="n"/>
      <c r="Y269" s="27" t="n"/>
      <c r="Z269" s="27" t="n"/>
      <c r="AA269" s="27" t="n"/>
      <c r="AB269" s="27" t="n"/>
      <c r="AC269" s="27" t="n"/>
      <c r="AD269" s="27" t="n"/>
      <c r="AE269" s="28" t="n"/>
      <c r="AF269" s="30" t="n"/>
      <c r="AG269" s="27" t="n"/>
    </row>
    <row r="270">
      <c r="A270" s="25" t="n"/>
      <c r="B270" s="26">
        <f>IF(ISNUMBER(A270),TEXT(A270,"ddd"),"")</f>
        <v/>
      </c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8" t="n"/>
      <c r="M270" s="26">
        <f>IF(OR(L270="",AND(E270&lt;&gt;"Up",E270&lt;&gt;"Down")),"",IF(OR(L270="In line",L270="Mixed"),"Neutral data",IF(OR(AND(L270="Hotter",E270="Down"),AND(L270="Cooler",E270="Up")),"With data","Against data")))</f>
        <v/>
      </c>
      <c r="N270" s="28" t="n"/>
      <c r="O270" s="27" t="n"/>
      <c r="P270" s="27" t="n"/>
      <c r="Q270" s="28" t="n"/>
      <c r="R270" s="27" t="n"/>
      <c r="S270" s="29" t="n"/>
      <c r="T270" s="27" t="n"/>
      <c r="U270" s="27" t="n"/>
      <c r="V270" s="26">
        <f>IF(OR(AND(E270&lt;&gt;"Up",E270&lt;&gt;"Down"),NOT(ISNUMBER(S270)),IF(E270="Up",Q270,R270)=""),"",IF(S270&gt;=100,"Back to open",IF(OR(IF(E270="Up",Q270,R270)="1-5 min",IF(E270="Up",Q270,R270)="5-15 min"),"Continued",IF(S270&gt;=50,"Partial retrace","Stalled / chop"))))</f>
        <v/>
      </c>
      <c r="W270" s="26">
        <f>IF(OR(Q270="",R270=""),"",IFERROR(IF(AND(Q270="Not by 16:00",R270="Not by 16:00"),"Neither taken",IF(FIND("|"&amp;Q270&amp;"|","|1-5 min|5-15 min|15-60 min|9:30-11:00|11:00-16:00|Not by 16:00|")=FIND("|"&amp;R270&amp;"|","|1-5 min|5-15 min|15-60 min|9:30-11:00|11:00-16:00|Not by 16:00|"),"Same window",IF(FIND("|"&amp;Q270&amp;"|","|1-5 min|5-15 min|15-60 min|9:30-11:00|11:00-16:00|Not by 16:00|")&lt;FIND("|"&amp;R270&amp;"|","|1-5 min|5-15 min|15-60 min|9:30-11:00|11:00-16:00|Not by 16:00|"),IF(E270="Up","High first (main side)",IF(E270="Down","High first (wick side)","High first")),IF(E270="Down","Low first (main side)",IF(E270="Up","Low first (wick side)","Low first"))))),"Check entries"))</f>
        <v/>
      </c>
      <c r="X270" s="28" t="n"/>
      <c r="Y270" s="27" t="n"/>
      <c r="Z270" s="27" t="n"/>
      <c r="AA270" s="27" t="n"/>
      <c r="AB270" s="27" t="n"/>
      <c r="AC270" s="27" t="n"/>
      <c r="AD270" s="27" t="n"/>
      <c r="AE270" s="28" t="n"/>
      <c r="AF270" s="30" t="n"/>
      <c r="AG270" s="27" t="n"/>
    </row>
    <row r="271">
      <c r="A271" s="25" t="n"/>
      <c r="B271" s="26">
        <f>IF(ISNUMBER(A271),TEXT(A271,"ddd"),"")</f>
        <v/>
      </c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8" t="n"/>
      <c r="M271" s="26">
        <f>IF(OR(L271="",AND(E271&lt;&gt;"Up",E271&lt;&gt;"Down")),"",IF(OR(L271="In line",L271="Mixed"),"Neutral data",IF(OR(AND(L271="Hotter",E271="Down"),AND(L271="Cooler",E271="Up")),"With data","Against data")))</f>
        <v/>
      </c>
      <c r="N271" s="28" t="n"/>
      <c r="O271" s="27" t="n"/>
      <c r="P271" s="27" t="n"/>
      <c r="Q271" s="28" t="n"/>
      <c r="R271" s="27" t="n"/>
      <c r="S271" s="29" t="n"/>
      <c r="T271" s="27" t="n"/>
      <c r="U271" s="27" t="n"/>
      <c r="V271" s="26">
        <f>IF(OR(AND(E271&lt;&gt;"Up",E271&lt;&gt;"Down"),NOT(ISNUMBER(S271)),IF(E271="Up",Q271,R271)=""),"",IF(S271&gt;=100,"Back to open",IF(OR(IF(E271="Up",Q271,R271)="1-5 min",IF(E271="Up",Q271,R271)="5-15 min"),"Continued",IF(S271&gt;=50,"Partial retrace","Stalled / chop"))))</f>
        <v/>
      </c>
      <c r="W271" s="26">
        <f>IF(OR(Q271="",R271=""),"",IFERROR(IF(AND(Q271="Not by 16:00",R271="Not by 16:00"),"Neither taken",IF(FIND("|"&amp;Q271&amp;"|","|1-5 min|5-15 min|15-60 min|9:30-11:00|11:00-16:00|Not by 16:00|")=FIND("|"&amp;R271&amp;"|","|1-5 min|5-15 min|15-60 min|9:30-11:00|11:00-16:00|Not by 16:00|"),"Same window",IF(FIND("|"&amp;Q271&amp;"|","|1-5 min|5-15 min|15-60 min|9:30-11:00|11:00-16:00|Not by 16:00|")&lt;FIND("|"&amp;R271&amp;"|","|1-5 min|5-15 min|15-60 min|9:30-11:00|11:00-16:00|Not by 16:00|"),IF(E271="Up","High first (main side)",IF(E271="Down","High first (wick side)","High first")),IF(E271="Down","Low first (main side)",IF(E271="Up","Low first (wick side)","Low first"))))),"Check entries"))</f>
        <v/>
      </c>
      <c r="X271" s="28" t="n"/>
      <c r="Y271" s="27" t="n"/>
      <c r="Z271" s="27" t="n"/>
      <c r="AA271" s="27" t="n"/>
      <c r="AB271" s="27" t="n"/>
      <c r="AC271" s="27" t="n"/>
      <c r="AD271" s="27" t="n"/>
      <c r="AE271" s="28" t="n"/>
      <c r="AF271" s="30" t="n"/>
      <c r="AG271" s="27" t="n"/>
    </row>
    <row r="272">
      <c r="A272" s="25" t="n"/>
      <c r="B272" s="26">
        <f>IF(ISNUMBER(A272),TEXT(A272,"ddd"),"")</f>
        <v/>
      </c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8" t="n"/>
      <c r="M272" s="26">
        <f>IF(OR(L272="",AND(E272&lt;&gt;"Up",E272&lt;&gt;"Down")),"",IF(OR(L272="In line",L272="Mixed"),"Neutral data",IF(OR(AND(L272="Hotter",E272="Down"),AND(L272="Cooler",E272="Up")),"With data","Against data")))</f>
        <v/>
      </c>
      <c r="N272" s="28" t="n"/>
      <c r="O272" s="27" t="n"/>
      <c r="P272" s="27" t="n"/>
      <c r="Q272" s="28" t="n"/>
      <c r="R272" s="27" t="n"/>
      <c r="S272" s="29" t="n"/>
      <c r="T272" s="27" t="n"/>
      <c r="U272" s="27" t="n"/>
      <c r="V272" s="26">
        <f>IF(OR(AND(E272&lt;&gt;"Up",E272&lt;&gt;"Down"),NOT(ISNUMBER(S272)),IF(E272="Up",Q272,R272)=""),"",IF(S272&gt;=100,"Back to open",IF(OR(IF(E272="Up",Q272,R272)="1-5 min",IF(E272="Up",Q272,R272)="5-15 min"),"Continued",IF(S272&gt;=50,"Partial retrace","Stalled / chop"))))</f>
        <v/>
      </c>
      <c r="W272" s="26">
        <f>IF(OR(Q272="",R272=""),"",IFERROR(IF(AND(Q272="Not by 16:00",R272="Not by 16:00"),"Neither taken",IF(FIND("|"&amp;Q272&amp;"|","|1-5 min|5-15 min|15-60 min|9:30-11:00|11:00-16:00|Not by 16:00|")=FIND("|"&amp;R272&amp;"|","|1-5 min|5-15 min|15-60 min|9:30-11:00|11:00-16:00|Not by 16:00|"),"Same window",IF(FIND("|"&amp;Q272&amp;"|","|1-5 min|5-15 min|15-60 min|9:30-11:00|11:00-16:00|Not by 16:00|")&lt;FIND("|"&amp;R272&amp;"|","|1-5 min|5-15 min|15-60 min|9:30-11:00|11:00-16:00|Not by 16:00|"),IF(E272="Up","High first (main side)",IF(E272="Down","High first (wick side)","High first")),IF(E272="Down","Low first (main side)",IF(E272="Up","Low first (wick side)","Low first"))))),"Check entries"))</f>
        <v/>
      </c>
      <c r="X272" s="28" t="n"/>
      <c r="Y272" s="27" t="n"/>
      <c r="Z272" s="27" t="n"/>
      <c r="AA272" s="27" t="n"/>
      <c r="AB272" s="27" t="n"/>
      <c r="AC272" s="27" t="n"/>
      <c r="AD272" s="27" t="n"/>
      <c r="AE272" s="28" t="n"/>
      <c r="AF272" s="30" t="n"/>
      <c r="AG272" s="27" t="n"/>
    </row>
    <row r="273">
      <c r="A273" s="25" t="n"/>
      <c r="B273" s="26">
        <f>IF(ISNUMBER(A273),TEXT(A273,"ddd"),"")</f>
        <v/>
      </c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8" t="n"/>
      <c r="M273" s="26">
        <f>IF(OR(L273="",AND(E273&lt;&gt;"Up",E273&lt;&gt;"Down")),"",IF(OR(L273="In line",L273="Mixed"),"Neutral data",IF(OR(AND(L273="Hotter",E273="Down"),AND(L273="Cooler",E273="Up")),"With data","Against data")))</f>
        <v/>
      </c>
      <c r="N273" s="28" t="n"/>
      <c r="O273" s="27" t="n"/>
      <c r="P273" s="27" t="n"/>
      <c r="Q273" s="28" t="n"/>
      <c r="R273" s="27" t="n"/>
      <c r="S273" s="29" t="n"/>
      <c r="T273" s="27" t="n"/>
      <c r="U273" s="27" t="n"/>
      <c r="V273" s="26">
        <f>IF(OR(AND(E273&lt;&gt;"Up",E273&lt;&gt;"Down"),NOT(ISNUMBER(S273)),IF(E273="Up",Q273,R273)=""),"",IF(S273&gt;=100,"Back to open",IF(OR(IF(E273="Up",Q273,R273)="1-5 min",IF(E273="Up",Q273,R273)="5-15 min"),"Continued",IF(S273&gt;=50,"Partial retrace","Stalled / chop"))))</f>
        <v/>
      </c>
      <c r="W273" s="26">
        <f>IF(OR(Q273="",R273=""),"",IFERROR(IF(AND(Q273="Not by 16:00",R273="Not by 16:00"),"Neither taken",IF(FIND("|"&amp;Q273&amp;"|","|1-5 min|5-15 min|15-60 min|9:30-11:00|11:00-16:00|Not by 16:00|")=FIND("|"&amp;R273&amp;"|","|1-5 min|5-15 min|15-60 min|9:30-11:00|11:00-16:00|Not by 16:00|"),"Same window",IF(FIND("|"&amp;Q273&amp;"|","|1-5 min|5-15 min|15-60 min|9:30-11:00|11:00-16:00|Not by 16:00|")&lt;FIND("|"&amp;R273&amp;"|","|1-5 min|5-15 min|15-60 min|9:30-11:00|11:00-16:00|Not by 16:00|"),IF(E273="Up","High first (main side)",IF(E273="Down","High first (wick side)","High first")),IF(E273="Down","Low first (main side)",IF(E273="Up","Low first (wick side)","Low first"))))),"Check entries"))</f>
        <v/>
      </c>
      <c r="X273" s="28" t="n"/>
      <c r="Y273" s="27" t="n"/>
      <c r="Z273" s="27" t="n"/>
      <c r="AA273" s="27" t="n"/>
      <c r="AB273" s="27" t="n"/>
      <c r="AC273" s="27" t="n"/>
      <c r="AD273" s="27" t="n"/>
      <c r="AE273" s="28" t="n"/>
      <c r="AF273" s="30" t="n"/>
      <c r="AG273" s="27" t="n"/>
    </row>
    <row r="274">
      <c r="A274" s="25" t="n"/>
      <c r="B274" s="26">
        <f>IF(ISNUMBER(A274),TEXT(A274,"ddd"),"")</f>
        <v/>
      </c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8" t="n"/>
      <c r="M274" s="26">
        <f>IF(OR(L274="",AND(E274&lt;&gt;"Up",E274&lt;&gt;"Down")),"",IF(OR(L274="In line",L274="Mixed"),"Neutral data",IF(OR(AND(L274="Hotter",E274="Down"),AND(L274="Cooler",E274="Up")),"With data","Against data")))</f>
        <v/>
      </c>
      <c r="N274" s="28" t="n"/>
      <c r="O274" s="27" t="n"/>
      <c r="P274" s="27" t="n"/>
      <c r="Q274" s="28" t="n"/>
      <c r="R274" s="27" t="n"/>
      <c r="S274" s="29" t="n"/>
      <c r="T274" s="27" t="n"/>
      <c r="U274" s="27" t="n"/>
      <c r="V274" s="26">
        <f>IF(OR(AND(E274&lt;&gt;"Up",E274&lt;&gt;"Down"),NOT(ISNUMBER(S274)),IF(E274="Up",Q274,R274)=""),"",IF(S274&gt;=100,"Back to open",IF(OR(IF(E274="Up",Q274,R274)="1-5 min",IF(E274="Up",Q274,R274)="5-15 min"),"Continued",IF(S274&gt;=50,"Partial retrace","Stalled / chop"))))</f>
        <v/>
      </c>
      <c r="W274" s="26">
        <f>IF(OR(Q274="",R274=""),"",IFERROR(IF(AND(Q274="Not by 16:00",R274="Not by 16:00"),"Neither taken",IF(FIND("|"&amp;Q274&amp;"|","|1-5 min|5-15 min|15-60 min|9:30-11:00|11:00-16:00|Not by 16:00|")=FIND("|"&amp;R274&amp;"|","|1-5 min|5-15 min|15-60 min|9:30-11:00|11:00-16:00|Not by 16:00|"),"Same window",IF(FIND("|"&amp;Q274&amp;"|","|1-5 min|5-15 min|15-60 min|9:30-11:00|11:00-16:00|Not by 16:00|")&lt;FIND("|"&amp;R274&amp;"|","|1-5 min|5-15 min|15-60 min|9:30-11:00|11:00-16:00|Not by 16:00|"),IF(E274="Up","High first (main side)",IF(E274="Down","High first (wick side)","High first")),IF(E274="Down","Low first (main side)",IF(E274="Up","Low first (wick side)","Low first"))))),"Check entries"))</f>
        <v/>
      </c>
      <c r="X274" s="28" t="n"/>
      <c r="Y274" s="27" t="n"/>
      <c r="Z274" s="27" t="n"/>
      <c r="AA274" s="27" t="n"/>
      <c r="AB274" s="27" t="n"/>
      <c r="AC274" s="27" t="n"/>
      <c r="AD274" s="27" t="n"/>
      <c r="AE274" s="28" t="n"/>
      <c r="AF274" s="30" t="n"/>
      <c r="AG274" s="27" t="n"/>
    </row>
    <row r="275">
      <c r="A275" s="25" t="n"/>
      <c r="B275" s="26">
        <f>IF(ISNUMBER(A275),TEXT(A275,"ddd"),"")</f>
        <v/>
      </c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8" t="n"/>
      <c r="M275" s="26">
        <f>IF(OR(L275="",AND(E275&lt;&gt;"Up",E275&lt;&gt;"Down")),"",IF(OR(L275="In line",L275="Mixed"),"Neutral data",IF(OR(AND(L275="Hotter",E275="Down"),AND(L275="Cooler",E275="Up")),"With data","Against data")))</f>
        <v/>
      </c>
      <c r="N275" s="28" t="n"/>
      <c r="O275" s="27" t="n"/>
      <c r="P275" s="27" t="n"/>
      <c r="Q275" s="28" t="n"/>
      <c r="R275" s="27" t="n"/>
      <c r="S275" s="29" t="n"/>
      <c r="T275" s="27" t="n"/>
      <c r="U275" s="27" t="n"/>
      <c r="V275" s="26">
        <f>IF(OR(AND(E275&lt;&gt;"Up",E275&lt;&gt;"Down"),NOT(ISNUMBER(S275)),IF(E275="Up",Q275,R275)=""),"",IF(S275&gt;=100,"Back to open",IF(OR(IF(E275="Up",Q275,R275)="1-5 min",IF(E275="Up",Q275,R275)="5-15 min"),"Continued",IF(S275&gt;=50,"Partial retrace","Stalled / chop"))))</f>
        <v/>
      </c>
      <c r="W275" s="26">
        <f>IF(OR(Q275="",R275=""),"",IFERROR(IF(AND(Q275="Not by 16:00",R275="Not by 16:00"),"Neither taken",IF(FIND("|"&amp;Q275&amp;"|","|1-5 min|5-15 min|15-60 min|9:30-11:00|11:00-16:00|Not by 16:00|")=FIND("|"&amp;R275&amp;"|","|1-5 min|5-15 min|15-60 min|9:30-11:00|11:00-16:00|Not by 16:00|"),"Same window",IF(FIND("|"&amp;Q275&amp;"|","|1-5 min|5-15 min|15-60 min|9:30-11:00|11:00-16:00|Not by 16:00|")&lt;FIND("|"&amp;R275&amp;"|","|1-5 min|5-15 min|15-60 min|9:30-11:00|11:00-16:00|Not by 16:00|"),IF(E275="Up","High first (main side)",IF(E275="Down","High first (wick side)","High first")),IF(E275="Down","Low first (main side)",IF(E275="Up","Low first (wick side)","Low first"))))),"Check entries"))</f>
        <v/>
      </c>
      <c r="X275" s="28" t="n"/>
      <c r="Y275" s="27" t="n"/>
      <c r="Z275" s="27" t="n"/>
      <c r="AA275" s="27" t="n"/>
      <c r="AB275" s="27" t="n"/>
      <c r="AC275" s="27" t="n"/>
      <c r="AD275" s="27" t="n"/>
      <c r="AE275" s="28" t="n"/>
      <c r="AF275" s="30" t="n"/>
      <c r="AG275" s="27" t="n"/>
    </row>
    <row r="276">
      <c r="A276" s="25" t="n"/>
      <c r="B276" s="26">
        <f>IF(ISNUMBER(A276),TEXT(A276,"ddd"),"")</f>
        <v/>
      </c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8" t="n"/>
      <c r="M276" s="26">
        <f>IF(OR(L276="",AND(E276&lt;&gt;"Up",E276&lt;&gt;"Down")),"",IF(OR(L276="In line",L276="Mixed"),"Neutral data",IF(OR(AND(L276="Hotter",E276="Down"),AND(L276="Cooler",E276="Up")),"With data","Against data")))</f>
        <v/>
      </c>
      <c r="N276" s="28" t="n"/>
      <c r="O276" s="27" t="n"/>
      <c r="P276" s="27" t="n"/>
      <c r="Q276" s="28" t="n"/>
      <c r="R276" s="27" t="n"/>
      <c r="S276" s="29" t="n"/>
      <c r="T276" s="27" t="n"/>
      <c r="U276" s="27" t="n"/>
      <c r="V276" s="26">
        <f>IF(OR(AND(E276&lt;&gt;"Up",E276&lt;&gt;"Down"),NOT(ISNUMBER(S276)),IF(E276="Up",Q276,R276)=""),"",IF(S276&gt;=100,"Back to open",IF(OR(IF(E276="Up",Q276,R276)="1-5 min",IF(E276="Up",Q276,R276)="5-15 min"),"Continued",IF(S276&gt;=50,"Partial retrace","Stalled / chop"))))</f>
        <v/>
      </c>
      <c r="W276" s="26">
        <f>IF(OR(Q276="",R276=""),"",IFERROR(IF(AND(Q276="Not by 16:00",R276="Not by 16:00"),"Neither taken",IF(FIND("|"&amp;Q276&amp;"|","|1-5 min|5-15 min|15-60 min|9:30-11:00|11:00-16:00|Not by 16:00|")=FIND("|"&amp;R276&amp;"|","|1-5 min|5-15 min|15-60 min|9:30-11:00|11:00-16:00|Not by 16:00|"),"Same window",IF(FIND("|"&amp;Q276&amp;"|","|1-5 min|5-15 min|15-60 min|9:30-11:00|11:00-16:00|Not by 16:00|")&lt;FIND("|"&amp;R276&amp;"|","|1-5 min|5-15 min|15-60 min|9:30-11:00|11:00-16:00|Not by 16:00|"),IF(E276="Up","High first (main side)",IF(E276="Down","High first (wick side)","High first")),IF(E276="Down","Low first (main side)",IF(E276="Up","Low first (wick side)","Low first"))))),"Check entries"))</f>
        <v/>
      </c>
      <c r="X276" s="28" t="n"/>
      <c r="Y276" s="27" t="n"/>
      <c r="Z276" s="27" t="n"/>
      <c r="AA276" s="27" t="n"/>
      <c r="AB276" s="27" t="n"/>
      <c r="AC276" s="27" t="n"/>
      <c r="AD276" s="27" t="n"/>
      <c r="AE276" s="28" t="n"/>
      <c r="AF276" s="30" t="n"/>
      <c r="AG276" s="27" t="n"/>
    </row>
    <row r="277">
      <c r="A277" s="25" t="n"/>
      <c r="B277" s="26">
        <f>IF(ISNUMBER(A277),TEXT(A277,"ddd"),"")</f>
        <v/>
      </c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8" t="n"/>
      <c r="M277" s="26">
        <f>IF(OR(L277="",AND(E277&lt;&gt;"Up",E277&lt;&gt;"Down")),"",IF(OR(L277="In line",L277="Mixed"),"Neutral data",IF(OR(AND(L277="Hotter",E277="Down"),AND(L277="Cooler",E277="Up")),"With data","Against data")))</f>
        <v/>
      </c>
      <c r="N277" s="28" t="n"/>
      <c r="O277" s="27" t="n"/>
      <c r="P277" s="27" t="n"/>
      <c r="Q277" s="28" t="n"/>
      <c r="R277" s="27" t="n"/>
      <c r="S277" s="29" t="n"/>
      <c r="T277" s="27" t="n"/>
      <c r="U277" s="27" t="n"/>
      <c r="V277" s="26">
        <f>IF(OR(AND(E277&lt;&gt;"Up",E277&lt;&gt;"Down"),NOT(ISNUMBER(S277)),IF(E277="Up",Q277,R277)=""),"",IF(S277&gt;=100,"Back to open",IF(OR(IF(E277="Up",Q277,R277)="1-5 min",IF(E277="Up",Q277,R277)="5-15 min"),"Continued",IF(S277&gt;=50,"Partial retrace","Stalled / chop"))))</f>
        <v/>
      </c>
      <c r="W277" s="26">
        <f>IF(OR(Q277="",R277=""),"",IFERROR(IF(AND(Q277="Not by 16:00",R277="Not by 16:00"),"Neither taken",IF(FIND("|"&amp;Q277&amp;"|","|1-5 min|5-15 min|15-60 min|9:30-11:00|11:00-16:00|Not by 16:00|")=FIND("|"&amp;R277&amp;"|","|1-5 min|5-15 min|15-60 min|9:30-11:00|11:00-16:00|Not by 16:00|"),"Same window",IF(FIND("|"&amp;Q277&amp;"|","|1-5 min|5-15 min|15-60 min|9:30-11:00|11:00-16:00|Not by 16:00|")&lt;FIND("|"&amp;R277&amp;"|","|1-5 min|5-15 min|15-60 min|9:30-11:00|11:00-16:00|Not by 16:00|"),IF(E277="Up","High first (main side)",IF(E277="Down","High first (wick side)","High first")),IF(E277="Down","Low first (main side)",IF(E277="Up","Low first (wick side)","Low first"))))),"Check entries"))</f>
        <v/>
      </c>
      <c r="X277" s="28" t="n"/>
      <c r="Y277" s="27" t="n"/>
      <c r="Z277" s="27" t="n"/>
      <c r="AA277" s="27" t="n"/>
      <c r="AB277" s="27" t="n"/>
      <c r="AC277" s="27" t="n"/>
      <c r="AD277" s="27" t="n"/>
      <c r="AE277" s="28" t="n"/>
      <c r="AF277" s="30" t="n"/>
      <c r="AG277" s="27" t="n"/>
    </row>
    <row r="278">
      <c r="A278" s="25" t="n"/>
      <c r="B278" s="26">
        <f>IF(ISNUMBER(A278),TEXT(A278,"ddd"),"")</f>
        <v/>
      </c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8" t="n"/>
      <c r="M278" s="26">
        <f>IF(OR(L278="",AND(E278&lt;&gt;"Up",E278&lt;&gt;"Down")),"",IF(OR(L278="In line",L278="Mixed"),"Neutral data",IF(OR(AND(L278="Hotter",E278="Down"),AND(L278="Cooler",E278="Up")),"With data","Against data")))</f>
        <v/>
      </c>
      <c r="N278" s="28" t="n"/>
      <c r="O278" s="27" t="n"/>
      <c r="P278" s="27" t="n"/>
      <c r="Q278" s="28" t="n"/>
      <c r="R278" s="27" t="n"/>
      <c r="S278" s="29" t="n"/>
      <c r="T278" s="27" t="n"/>
      <c r="U278" s="27" t="n"/>
      <c r="V278" s="26">
        <f>IF(OR(AND(E278&lt;&gt;"Up",E278&lt;&gt;"Down"),NOT(ISNUMBER(S278)),IF(E278="Up",Q278,R278)=""),"",IF(S278&gt;=100,"Back to open",IF(OR(IF(E278="Up",Q278,R278)="1-5 min",IF(E278="Up",Q278,R278)="5-15 min"),"Continued",IF(S278&gt;=50,"Partial retrace","Stalled / chop"))))</f>
        <v/>
      </c>
      <c r="W278" s="26">
        <f>IF(OR(Q278="",R278=""),"",IFERROR(IF(AND(Q278="Not by 16:00",R278="Not by 16:00"),"Neither taken",IF(FIND("|"&amp;Q278&amp;"|","|1-5 min|5-15 min|15-60 min|9:30-11:00|11:00-16:00|Not by 16:00|")=FIND("|"&amp;R278&amp;"|","|1-5 min|5-15 min|15-60 min|9:30-11:00|11:00-16:00|Not by 16:00|"),"Same window",IF(FIND("|"&amp;Q278&amp;"|","|1-5 min|5-15 min|15-60 min|9:30-11:00|11:00-16:00|Not by 16:00|")&lt;FIND("|"&amp;R278&amp;"|","|1-5 min|5-15 min|15-60 min|9:30-11:00|11:00-16:00|Not by 16:00|"),IF(E278="Up","High first (main side)",IF(E278="Down","High first (wick side)","High first")),IF(E278="Down","Low first (main side)",IF(E278="Up","Low first (wick side)","Low first"))))),"Check entries"))</f>
        <v/>
      </c>
      <c r="X278" s="28" t="n"/>
      <c r="Y278" s="27" t="n"/>
      <c r="Z278" s="27" t="n"/>
      <c r="AA278" s="27" t="n"/>
      <c r="AB278" s="27" t="n"/>
      <c r="AC278" s="27" t="n"/>
      <c r="AD278" s="27" t="n"/>
      <c r="AE278" s="28" t="n"/>
      <c r="AF278" s="30" t="n"/>
      <c r="AG278" s="27" t="n"/>
    </row>
    <row r="279">
      <c r="A279" s="25" t="n"/>
      <c r="B279" s="26">
        <f>IF(ISNUMBER(A279),TEXT(A279,"ddd"),"")</f>
        <v/>
      </c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8" t="n"/>
      <c r="M279" s="26">
        <f>IF(OR(L279="",AND(E279&lt;&gt;"Up",E279&lt;&gt;"Down")),"",IF(OR(L279="In line",L279="Mixed"),"Neutral data",IF(OR(AND(L279="Hotter",E279="Down"),AND(L279="Cooler",E279="Up")),"With data","Against data")))</f>
        <v/>
      </c>
      <c r="N279" s="28" t="n"/>
      <c r="O279" s="27" t="n"/>
      <c r="P279" s="27" t="n"/>
      <c r="Q279" s="28" t="n"/>
      <c r="R279" s="27" t="n"/>
      <c r="S279" s="29" t="n"/>
      <c r="T279" s="27" t="n"/>
      <c r="U279" s="27" t="n"/>
      <c r="V279" s="26">
        <f>IF(OR(AND(E279&lt;&gt;"Up",E279&lt;&gt;"Down"),NOT(ISNUMBER(S279)),IF(E279="Up",Q279,R279)=""),"",IF(S279&gt;=100,"Back to open",IF(OR(IF(E279="Up",Q279,R279)="1-5 min",IF(E279="Up",Q279,R279)="5-15 min"),"Continued",IF(S279&gt;=50,"Partial retrace","Stalled / chop"))))</f>
        <v/>
      </c>
      <c r="W279" s="26">
        <f>IF(OR(Q279="",R279=""),"",IFERROR(IF(AND(Q279="Not by 16:00",R279="Not by 16:00"),"Neither taken",IF(FIND("|"&amp;Q279&amp;"|","|1-5 min|5-15 min|15-60 min|9:30-11:00|11:00-16:00|Not by 16:00|")=FIND("|"&amp;R279&amp;"|","|1-5 min|5-15 min|15-60 min|9:30-11:00|11:00-16:00|Not by 16:00|"),"Same window",IF(FIND("|"&amp;Q279&amp;"|","|1-5 min|5-15 min|15-60 min|9:30-11:00|11:00-16:00|Not by 16:00|")&lt;FIND("|"&amp;R279&amp;"|","|1-5 min|5-15 min|15-60 min|9:30-11:00|11:00-16:00|Not by 16:00|"),IF(E279="Up","High first (main side)",IF(E279="Down","High first (wick side)","High first")),IF(E279="Down","Low first (main side)",IF(E279="Up","Low first (wick side)","Low first"))))),"Check entries"))</f>
        <v/>
      </c>
      <c r="X279" s="28" t="n"/>
      <c r="Y279" s="27" t="n"/>
      <c r="Z279" s="27" t="n"/>
      <c r="AA279" s="27" t="n"/>
      <c r="AB279" s="27" t="n"/>
      <c r="AC279" s="27" t="n"/>
      <c r="AD279" s="27" t="n"/>
      <c r="AE279" s="28" t="n"/>
      <c r="AF279" s="30" t="n"/>
      <c r="AG279" s="27" t="n"/>
    </row>
    <row r="280">
      <c r="A280" s="25" t="n"/>
      <c r="B280" s="26">
        <f>IF(ISNUMBER(A280),TEXT(A280,"ddd"),"")</f>
        <v/>
      </c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8" t="n"/>
      <c r="M280" s="26">
        <f>IF(OR(L280="",AND(E280&lt;&gt;"Up",E280&lt;&gt;"Down")),"",IF(OR(L280="In line",L280="Mixed"),"Neutral data",IF(OR(AND(L280="Hotter",E280="Down"),AND(L280="Cooler",E280="Up")),"With data","Against data")))</f>
        <v/>
      </c>
      <c r="N280" s="28" t="n"/>
      <c r="O280" s="27" t="n"/>
      <c r="P280" s="27" t="n"/>
      <c r="Q280" s="28" t="n"/>
      <c r="R280" s="27" t="n"/>
      <c r="S280" s="29" t="n"/>
      <c r="T280" s="27" t="n"/>
      <c r="U280" s="27" t="n"/>
      <c r="V280" s="26">
        <f>IF(OR(AND(E280&lt;&gt;"Up",E280&lt;&gt;"Down"),NOT(ISNUMBER(S280)),IF(E280="Up",Q280,R280)=""),"",IF(S280&gt;=100,"Back to open",IF(OR(IF(E280="Up",Q280,R280)="1-5 min",IF(E280="Up",Q280,R280)="5-15 min"),"Continued",IF(S280&gt;=50,"Partial retrace","Stalled / chop"))))</f>
        <v/>
      </c>
      <c r="W280" s="26">
        <f>IF(OR(Q280="",R280=""),"",IFERROR(IF(AND(Q280="Not by 16:00",R280="Not by 16:00"),"Neither taken",IF(FIND("|"&amp;Q280&amp;"|","|1-5 min|5-15 min|15-60 min|9:30-11:00|11:00-16:00|Not by 16:00|")=FIND("|"&amp;R280&amp;"|","|1-5 min|5-15 min|15-60 min|9:30-11:00|11:00-16:00|Not by 16:00|"),"Same window",IF(FIND("|"&amp;Q280&amp;"|","|1-5 min|5-15 min|15-60 min|9:30-11:00|11:00-16:00|Not by 16:00|")&lt;FIND("|"&amp;R280&amp;"|","|1-5 min|5-15 min|15-60 min|9:30-11:00|11:00-16:00|Not by 16:00|"),IF(E280="Up","High first (main side)",IF(E280="Down","High first (wick side)","High first")),IF(E280="Down","Low first (main side)",IF(E280="Up","Low first (wick side)","Low first"))))),"Check entries"))</f>
        <v/>
      </c>
      <c r="X280" s="28" t="n"/>
      <c r="Y280" s="27" t="n"/>
      <c r="Z280" s="27" t="n"/>
      <c r="AA280" s="27" t="n"/>
      <c r="AB280" s="27" t="n"/>
      <c r="AC280" s="27" t="n"/>
      <c r="AD280" s="27" t="n"/>
      <c r="AE280" s="28" t="n"/>
      <c r="AF280" s="30" t="n"/>
      <c r="AG280" s="27" t="n"/>
    </row>
    <row r="281">
      <c r="A281" s="25" t="n"/>
      <c r="B281" s="26">
        <f>IF(ISNUMBER(A281),TEXT(A281,"ddd"),"")</f>
        <v/>
      </c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8" t="n"/>
      <c r="M281" s="26">
        <f>IF(OR(L281="",AND(E281&lt;&gt;"Up",E281&lt;&gt;"Down")),"",IF(OR(L281="In line",L281="Mixed"),"Neutral data",IF(OR(AND(L281="Hotter",E281="Down"),AND(L281="Cooler",E281="Up")),"With data","Against data")))</f>
        <v/>
      </c>
      <c r="N281" s="28" t="n"/>
      <c r="O281" s="27" t="n"/>
      <c r="P281" s="27" t="n"/>
      <c r="Q281" s="28" t="n"/>
      <c r="R281" s="27" t="n"/>
      <c r="S281" s="29" t="n"/>
      <c r="T281" s="27" t="n"/>
      <c r="U281" s="27" t="n"/>
      <c r="V281" s="26">
        <f>IF(OR(AND(E281&lt;&gt;"Up",E281&lt;&gt;"Down"),NOT(ISNUMBER(S281)),IF(E281="Up",Q281,R281)=""),"",IF(S281&gt;=100,"Back to open",IF(OR(IF(E281="Up",Q281,R281)="1-5 min",IF(E281="Up",Q281,R281)="5-15 min"),"Continued",IF(S281&gt;=50,"Partial retrace","Stalled / chop"))))</f>
        <v/>
      </c>
      <c r="W281" s="26">
        <f>IF(OR(Q281="",R281=""),"",IFERROR(IF(AND(Q281="Not by 16:00",R281="Not by 16:00"),"Neither taken",IF(FIND("|"&amp;Q281&amp;"|","|1-5 min|5-15 min|15-60 min|9:30-11:00|11:00-16:00|Not by 16:00|")=FIND("|"&amp;R281&amp;"|","|1-5 min|5-15 min|15-60 min|9:30-11:00|11:00-16:00|Not by 16:00|"),"Same window",IF(FIND("|"&amp;Q281&amp;"|","|1-5 min|5-15 min|15-60 min|9:30-11:00|11:00-16:00|Not by 16:00|")&lt;FIND("|"&amp;R281&amp;"|","|1-5 min|5-15 min|15-60 min|9:30-11:00|11:00-16:00|Not by 16:00|"),IF(E281="Up","High first (main side)",IF(E281="Down","High first (wick side)","High first")),IF(E281="Down","Low first (main side)",IF(E281="Up","Low first (wick side)","Low first"))))),"Check entries"))</f>
        <v/>
      </c>
      <c r="X281" s="28" t="n"/>
      <c r="Y281" s="27" t="n"/>
      <c r="Z281" s="27" t="n"/>
      <c r="AA281" s="27" t="n"/>
      <c r="AB281" s="27" t="n"/>
      <c r="AC281" s="27" t="n"/>
      <c r="AD281" s="27" t="n"/>
      <c r="AE281" s="28" t="n"/>
      <c r="AF281" s="30" t="n"/>
      <c r="AG281" s="27" t="n"/>
    </row>
    <row r="282">
      <c r="A282" s="25" t="n"/>
      <c r="B282" s="26">
        <f>IF(ISNUMBER(A282),TEXT(A282,"ddd"),"")</f>
        <v/>
      </c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8" t="n"/>
      <c r="M282" s="26">
        <f>IF(OR(L282="",AND(E282&lt;&gt;"Up",E282&lt;&gt;"Down")),"",IF(OR(L282="In line",L282="Mixed"),"Neutral data",IF(OR(AND(L282="Hotter",E282="Down"),AND(L282="Cooler",E282="Up")),"With data","Against data")))</f>
        <v/>
      </c>
      <c r="N282" s="28" t="n"/>
      <c r="O282" s="27" t="n"/>
      <c r="P282" s="27" t="n"/>
      <c r="Q282" s="28" t="n"/>
      <c r="R282" s="27" t="n"/>
      <c r="S282" s="29" t="n"/>
      <c r="T282" s="27" t="n"/>
      <c r="U282" s="27" t="n"/>
      <c r="V282" s="26">
        <f>IF(OR(AND(E282&lt;&gt;"Up",E282&lt;&gt;"Down"),NOT(ISNUMBER(S282)),IF(E282="Up",Q282,R282)=""),"",IF(S282&gt;=100,"Back to open",IF(OR(IF(E282="Up",Q282,R282)="1-5 min",IF(E282="Up",Q282,R282)="5-15 min"),"Continued",IF(S282&gt;=50,"Partial retrace","Stalled / chop"))))</f>
        <v/>
      </c>
      <c r="W282" s="26">
        <f>IF(OR(Q282="",R282=""),"",IFERROR(IF(AND(Q282="Not by 16:00",R282="Not by 16:00"),"Neither taken",IF(FIND("|"&amp;Q282&amp;"|","|1-5 min|5-15 min|15-60 min|9:30-11:00|11:00-16:00|Not by 16:00|")=FIND("|"&amp;R282&amp;"|","|1-5 min|5-15 min|15-60 min|9:30-11:00|11:00-16:00|Not by 16:00|"),"Same window",IF(FIND("|"&amp;Q282&amp;"|","|1-5 min|5-15 min|15-60 min|9:30-11:00|11:00-16:00|Not by 16:00|")&lt;FIND("|"&amp;R282&amp;"|","|1-5 min|5-15 min|15-60 min|9:30-11:00|11:00-16:00|Not by 16:00|"),IF(E282="Up","High first (main side)",IF(E282="Down","High first (wick side)","High first")),IF(E282="Down","Low first (main side)",IF(E282="Up","Low first (wick side)","Low first"))))),"Check entries"))</f>
        <v/>
      </c>
      <c r="X282" s="28" t="n"/>
      <c r="Y282" s="27" t="n"/>
      <c r="Z282" s="27" t="n"/>
      <c r="AA282" s="27" t="n"/>
      <c r="AB282" s="27" t="n"/>
      <c r="AC282" s="27" t="n"/>
      <c r="AD282" s="27" t="n"/>
      <c r="AE282" s="28" t="n"/>
      <c r="AF282" s="30" t="n"/>
      <c r="AG282" s="27" t="n"/>
    </row>
    <row r="283">
      <c r="A283" s="25" t="n"/>
      <c r="B283" s="26">
        <f>IF(ISNUMBER(A283),TEXT(A283,"ddd"),"")</f>
        <v/>
      </c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8" t="n"/>
      <c r="M283" s="26">
        <f>IF(OR(L283="",AND(E283&lt;&gt;"Up",E283&lt;&gt;"Down")),"",IF(OR(L283="In line",L283="Mixed"),"Neutral data",IF(OR(AND(L283="Hotter",E283="Down"),AND(L283="Cooler",E283="Up")),"With data","Against data")))</f>
        <v/>
      </c>
      <c r="N283" s="28" t="n"/>
      <c r="O283" s="27" t="n"/>
      <c r="P283" s="27" t="n"/>
      <c r="Q283" s="28" t="n"/>
      <c r="R283" s="27" t="n"/>
      <c r="S283" s="29" t="n"/>
      <c r="T283" s="27" t="n"/>
      <c r="U283" s="27" t="n"/>
      <c r="V283" s="26">
        <f>IF(OR(AND(E283&lt;&gt;"Up",E283&lt;&gt;"Down"),NOT(ISNUMBER(S283)),IF(E283="Up",Q283,R283)=""),"",IF(S283&gt;=100,"Back to open",IF(OR(IF(E283="Up",Q283,R283)="1-5 min",IF(E283="Up",Q283,R283)="5-15 min"),"Continued",IF(S283&gt;=50,"Partial retrace","Stalled / chop"))))</f>
        <v/>
      </c>
      <c r="W283" s="26">
        <f>IF(OR(Q283="",R283=""),"",IFERROR(IF(AND(Q283="Not by 16:00",R283="Not by 16:00"),"Neither taken",IF(FIND("|"&amp;Q283&amp;"|","|1-5 min|5-15 min|15-60 min|9:30-11:00|11:00-16:00|Not by 16:00|")=FIND("|"&amp;R283&amp;"|","|1-5 min|5-15 min|15-60 min|9:30-11:00|11:00-16:00|Not by 16:00|"),"Same window",IF(FIND("|"&amp;Q283&amp;"|","|1-5 min|5-15 min|15-60 min|9:30-11:00|11:00-16:00|Not by 16:00|")&lt;FIND("|"&amp;R283&amp;"|","|1-5 min|5-15 min|15-60 min|9:30-11:00|11:00-16:00|Not by 16:00|"),IF(E283="Up","High first (main side)",IF(E283="Down","High first (wick side)","High first")),IF(E283="Down","Low first (main side)",IF(E283="Up","Low first (wick side)","Low first"))))),"Check entries"))</f>
        <v/>
      </c>
      <c r="X283" s="28" t="n"/>
      <c r="Y283" s="27" t="n"/>
      <c r="Z283" s="27" t="n"/>
      <c r="AA283" s="27" t="n"/>
      <c r="AB283" s="27" t="n"/>
      <c r="AC283" s="27" t="n"/>
      <c r="AD283" s="27" t="n"/>
      <c r="AE283" s="28" t="n"/>
      <c r="AF283" s="30" t="n"/>
      <c r="AG283" s="27" t="n"/>
    </row>
    <row r="284">
      <c r="A284" s="25" t="n"/>
      <c r="B284" s="26">
        <f>IF(ISNUMBER(A284),TEXT(A284,"ddd"),"")</f>
        <v/>
      </c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8" t="n"/>
      <c r="M284" s="26">
        <f>IF(OR(L284="",AND(E284&lt;&gt;"Up",E284&lt;&gt;"Down")),"",IF(OR(L284="In line",L284="Mixed"),"Neutral data",IF(OR(AND(L284="Hotter",E284="Down"),AND(L284="Cooler",E284="Up")),"With data","Against data")))</f>
        <v/>
      </c>
      <c r="N284" s="28" t="n"/>
      <c r="O284" s="27" t="n"/>
      <c r="P284" s="27" t="n"/>
      <c r="Q284" s="28" t="n"/>
      <c r="R284" s="27" t="n"/>
      <c r="S284" s="29" t="n"/>
      <c r="T284" s="27" t="n"/>
      <c r="U284" s="27" t="n"/>
      <c r="V284" s="26">
        <f>IF(OR(AND(E284&lt;&gt;"Up",E284&lt;&gt;"Down"),NOT(ISNUMBER(S284)),IF(E284="Up",Q284,R284)=""),"",IF(S284&gt;=100,"Back to open",IF(OR(IF(E284="Up",Q284,R284)="1-5 min",IF(E284="Up",Q284,R284)="5-15 min"),"Continued",IF(S284&gt;=50,"Partial retrace","Stalled / chop"))))</f>
        <v/>
      </c>
      <c r="W284" s="26">
        <f>IF(OR(Q284="",R284=""),"",IFERROR(IF(AND(Q284="Not by 16:00",R284="Not by 16:00"),"Neither taken",IF(FIND("|"&amp;Q284&amp;"|","|1-5 min|5-15 min|15-60 min|9:30-11:00|11:00-16:00|Not by 16:00|")=FIND("|"&amp;R284&amp;"|","|1-5 min|5-15 min|15-60 min|9:30-11:00|11:00-16:00|Not by 16:00|"),"Same window",IF(FIND("|"&amp;Q284&amp;"|","|1-5 min|5-15 min|15-60 min|9:30-11:00|11:00-16:00|Not by 16:00|")&lt;FIND("|"&amp;R284&amp;"|","|1-5 min|5-15 min|15-60 min|9:30-11:00|11:00-16:00|Not by 16:00|"),IF(E284="Up","High first (main side)",IF(E284="Down","High first (wick side)","High first")),IF(E284="Down","Low first (main side)",IF(E284="Up","Low first (wick side)","Low first"))))),"Check entries"))</f>
        <v/>
      </c>
      <c r="X284" s="28" t="n"/>
      <c r="Y284" s="27" t="n"/>
      <c r="Z284" s="27" t="n"/>
      <c r="AA284" s="27" t="n"/>
      <c r="AB284" s="27" t="n"/>
      <c r="AC284" s="27" t="n"/>
      <c r="AD284" s="27" t="n"/>
      <c r="AE284" s="28" t="n"/>
      <c r="AF284" s="30" t="n"/>
      <c r="AG284" s="27" t="n"/>
    </row>
    <row r="285">
      <c r="A285" s="25" t="n"/>
      <c r="B285" s="26">
        <f>IF(ISNUMBER(A285),TEXT(A285,"ddd"),"")</f>
        <v/>
      </c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8" t="n"/>
      <c r="M285" s="26">
        <f>IF(OR(L285="",AND(E285&lt;&gt;"Up",E285&lt;&gt;"Down")),"",IF(OR(L285="In line",L285="Mixed"),"Neutral data",IF(OR(AND(L285="Hotter",E285="Down"),AND(L285="Cooler",E285="Up")),"With data","Against data")))</f>
        <v/>
      </c>
      <c r="N285" s="28" t="n"/>
      <c r="O285" s="27" t="n"/>
      <c r="P285" s="27" t="n"/>
      <c r="Q285" s="28" t="n"/>
      <c r="R285" s="27" t="n"/>
      <c r="S285" s="29" t="n"/>
      <c r="T285" s="27" t="n"/>
      <c r="U285" s="27" t="n"/>
      <c r="V285" s="26">
        <f>IF(OR(AND(E285&lt;&gt;"Up",E285&lt;&gt;"Down"),NOT(ISNUMBER(S285)),IF(E285="Up",Q285,R285)=""),"",IF(S285&gt;=100,"Back to open",IF(OR(IF(E285="Up",Q285,R285)="1-5 min",IF(E285="Up",Q285,R285)="5-15 min"),"Continued",IF(S285&gt;=50,"Partial retrace","Stalled / chop"))))</f>
        <v/>
      </c>
      <c r="W285" s="26">
        <f>IF(OR(Q285="",R285=""),"",IFERROR(IF(AND(Q285="Not by 16:00",R285="Not by 16:00"),"Neither taken",IF(FIND("|"&amp;Q285&amp;"|","|1-5 min|5-15 min|15-60 min|9:30-11:00|11:00-16:00|Not by 16:00|")=FIND("|"&amp;R285&amp;"|","|1-5 min|5-15 min|15-60 min|9:30-11:00|11:00-16:00|Not by 16:00|"),"Same window",IF(FIND("|"&amp;Q285&amp;"|","|1-5 min|5-15 min|15-60 min|9:30-11:00|11:00-16:00|Not by 16:00|")&lt;FIND("|"&amp;R285&amp;"|","|1-5 min|5-15 min|15-60 min|9:30-11:00|11:00-16:00|Not by 16:00|"),IF(E285="Up","High first (main side)",IF(E285="Down","High first (wick side)","High first")),IF(E285="Down","Low first (main side)",IF(E285="Up","Low first (wick side)","Low first"))))),"Check entries"))</f>
        <v/>
      </c>
      <c r="X285" s="28" t="n"/>
      <c r="Y285" s="27" t="n"/>
      <c r="Z285" s="27" t="n"/>
      <c r="AA285" s="27" t="n"/>
      <c r="AB285" s="27" t="n"/>
      <c r="AC285" s="27" t="n"/>
      <c r="AD285" s="27" t="n"/>
      <c r="AE285" s="28" t="n"/>
      <c r="AF285" s="30" t="n"/>
      <c r="AG285" s="27" t="n"/>
    </row>
    <row r="286">
      <c r="A286" s="25" t="n"/>
      <c r="B286" s="26">
        <f>IF(ISNUMBER(A286),TEXT(A286,"ddd"),"")</f>
        <v/>
      </c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8" t="n"/>
      <c r="M286" s="26">
        <f>IF(OR(L286="",AND(E286&lt;&gt;"Up",E286&lt;&gt;"Down")),"",IF(OR(L286="In line",L286="Mixed"),"Neutral data",IF(OR(AND(L286="Hotter",E286="Down"),AND(L286="Cooler",E286="Up")),"With data","Against data")))</f>
        <v/>
      </c>
      <c r="N286" s="28" t="n"/>
      <c r="O286" s="27" t="n"/>
      <c r="P286" s="27" t="n"/>
      <c r="Q286" s="28" t="n"/>
      <c r="R286" s="27" t="n"/>
      <c r="S286" s="29" t="n"/>
      <c r="T286" s="27" t="n"/>
      <c r="U286" s="27" t="n"/>
      <c r="V286" s="26">
        <f>IF(OR(AND(E286&lt;&gt;"Up",E286&lt;&gt;"Down"),NOT(ISNUMBER(S286)),IF(E286="Up",Q286,R286)=""),"",IF(S286&gt;=100,"Back to open",IF(OR(IF(E286="Up",Q286,R286)="1-5 min",IF(E286="Up",Q286,R286)="5-15 min"),"Continued",IF(S286&gt;=50,"Partial retrace","Stalled / chop"))))</f>
        <v/>
      </c>
      <c r="W286" s="26">
        <f>IF(OR(Q286="",R286=""),"",IFERROR(IF(AND(Q286="Not by 16:00",R286="Not by 16:00"),"Neither taken",IF(FIND("|"&amp;Q286&amp;"|","|1-5 min|5-15 min|15-60 min|9:30-11:00|11:00-16:00|Not by 16:00|")=FIND("|"&amp;R286&amp;"|","|1-5 min|5-15 min|15-60 min|9:30-11:00|11:00-16:00|Not by 16:00|"),"Same window",IF(FIND("|"&amp;Q286&amp;"|","|1-5 min|5-15 min|15-60 min|9:30-11:00|11:00-16:00|Not by 16:00|")&lt;FIND("|"&amp;R286&amp;"|","|1-5 min|5-15 min|15-60 min|9:30-11:00|11:00-16:00|Not by 16:00|"),IF(E286="Up","High first (main side)",IF(E286="Down","High first (wick side)","High first")),IF(E286="Down","Low first (main side)",IF(E286="Up","Low first (wick side)","Low first"))))),"Check entries"))</f>
        <v/>
      </c>
      <c r="X286" s="28" t="n"/>
      <c r="Y286" s="27" t="n"/>
      <c r="Z286" s="27" t="n"/>
      <c r="AA286" s="27" t="n"/>
      <c r="AB286" s="27" t="n"/>
      <c r="AC286" s="27" t="n"/>
      <c r="AD286" s="27" t="n"/>
      <c r="AE286" s="28" t="n"/>
      <c r="AF286" s="30" t="n"/>
      <c r="AG286" s="27" t="n"/>
    </row>
    <row r="287">
      <c r="A287" s="25" t="n"/>
      <c r="B287" s="26">
        <f>IF(ISNUMBER(A287),TEXT(A287,"ddd"),"")</f>
        <v/>
      </c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8" t="n"/>
      <c r="M287" s="26">
        <f>IF(OR(L287="",AND(E287&lt;&gt;"Up",E287&lt;&gt;"Down")),"",IF(OR(L287="In line",L287="Mixed"),"Neutral data",IF(OR(AND(L287="Hotter",E287="Down"),AND(L287="Cooler",E287="Up")),"With data","Against data")))</f>
        <v/>
      </c>
      <c r="N287" s="28" t="n"/>
      <c r="O287" s="27" t="n"/>
      <c r="P287" s="27" t="n"/>
      <c r="Q287" s="28" t="n"/>
      <c r="R287" s="27" t="n"/>
      <c r="S287" s="29" t="n"/>
      <c r="T287" s="27" t="n"/>
      <c r="U287" s="27" t="n"/>
      <c r="V287" s="26">
        <f>IF(OR(AND(E287&lt;&gt;"Up",E287&lt;&gt;"Down"),NOT(ISNUMBER(S287)),IF(E287="Up",Q287,R287)=""),"",IF(S287&gt;=100,"Back to open",IF(OR(IF(E287="Up",Q287,R287)="1-5 min",IF(E287="Up",Q287,R287)="5-15 min"),"Continued",IF(S287&gt;=50,"Partial retrace","Stalled / chop"))))</f>
        <v/>
      </c>
      <c r="W287" s="26">
        <f>IF(OR(Q287="",R287=""),"",IFERROR(IF(AND(Q287="Not by 16:00",R287="Not by 16:00"),"Neither taken",IF(FIND("|"&amp;Q287&amp;"|","|1-5 min|5-15 min|15-60 min|9:30-11:00|11:00-16:00|Not by 16:00|")=FIND("|"&amp;R287&amp;"|","|1-5 min|5-15 min|15-60 min|9:30-11:00|11:00-16:00|Not by 16:00|"),"Same window",IF(FIND("|"&amp;Q287&amp;"|","|1-5 min|5-15 min|15-60 min|9:30-11:00|11:00-16:00|Not by 16:00|")&lt;FIND("|"&amp;R287&amp;"|","|1-5 min|5-15 min|15-60 min|9:30-11:00|11:00-16:00|Not by 16:00|"),IF(E287="Up","High first (main side)",IF(E287="Down","High first (wick side)","High first")),IF(E287="Down","Low first (main side)",IF(E287="Up","Low first (wick side)","Low first"))))),"Check entries"))</f>
        <v/>
      </c>
      <c r="X287" s="28" t="n"/>
      <c r="Y287" s="27" t="n"/>
      <c r="Z287" s="27" t="n"/>
      <c r="AA287" s="27" t="n"/>
      <c r="AB287" s="27" t="n"/>
      <c r="AC287" s="27" t="n"/>
      <c r="AD287" s="27" t="n"/>
      <c r="AE287" s="28" t="n"/>
      <c r="AF287" s="30" t="n"/>
      <c r="AG287" s="27" t="n"/>
    </row>
    <row r="288">
      <c r="A288" s="25" t="n"/>
      <c r="B288" s="26">
        <f>IF(ISNUMBER(A288),TEXT(A288,"ddd"),"")</f>
        <v/>
      </c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8" t="n"/>
      <c r="M288" s="26">
        <f>IF(OR(L288="",AND(E288&lt;&gt;"Up",E288&lt;&gt;"Down")),"",IF(OR(L288="In line",L288="Mixed"),"Neutral data",IF(OR(AND(L288="Hotter",E288="Down"),AND(L288="Cooler",E288="Up")),"With data","Against data")))</f>
        <v/>
      </c>
      <c r="N288" s="28" t="n"/>
      <c r="O288" s="27" t="n"/>
      <c r="P288" s="27" t="n"/>
      <c r="Q288" s="28" t="n"/>
      <c r="R288" s="27" t="n"/>
      <c r="S288" s="29" t="n"/>
      <c r="T288" s="27" t="n"/>
      <c r="U288" s="27" t="n"/>
      <c r="V288" s="26">
        <f>IF(OR(AND(E288&lt;&gt;"Up",E288&lt;&gt;"Down"),NOT(ISNUMBER(S288)),IF(E288="Up",Q288,R288)=""),"",IF(S288&gt;=100,"Back to open",IF(OR(IF(E288="Up",Q288,R288)="1-5 min",IF(E288="Up",Q288,R288)="5-15 min"),"Continued",IF(S288&gt;=50,"Partial retrace","Stalled / chop"))))</f>
        <v/>
      </c>
      <c r="W288" s="26">
        <f>IF(OR(Q288="",R288=""),"",IFERROR(IF(AND(Q288="Not by 16:00",R288="Not by 16:00"),"Neither taken",IF(FIND("|"&amp;Q288&amp;"|","|1-5 min|5-15 min|15-60 min|9:30-11:00|11:00-16:00|Not by 16:00|")=FIND("|"&amp;R288&amp;"|","|1-5 min|5-15 min|15-60 min|9:30-11:00|11:00-16:00|Not by 16:00|"),"Same window",IF(FIND("|"&amp;Q288&amp;"|","|1-5 min|5-15 min|15-60 min|9:30-11:00|11:00-16:00|Not by 16:00|")&lt;FIND("|"&amp;R288&amp;"|","|1-5 min|5-15 min|15-60 min|9:30-11:00|11:00-16:00|Not by 16:00|"),IF(E288="Up","High first (main side)",IF(E288="Down","High first (wick side)","High first")),IF(E288="Down","Low first (main side)",IF(E288="Up","Low first (wick side)","Low first"))))),"Check entries"))</f>
        <v/>
      </c>
      <c r="X288" s="28" t="n"/>
      <c r="Y288" s="27" t="n"/>
      <c r="Z288" s="27" t="n"/>
      <c r="AA288" s="27" t="n"/>
      <c r="AB288" s="27" t="n"/>
      <c r="AC288" s="27" t="n"/>
      <c r="AD288" s="27" t="n"/>
      <c r="AE288" s="28" t="n"/>
      <c r="AF288" s="30" t="n"/>
      <c r="AG288" s="27" t="n"/>
    </row>
    <row r="289">
      <c r="A289" s="25" t="n"/>
      <c r="B289" s="26">
        <f>IF(ISNUMBER(A289),TEXT(A289,"ddd"),"")</f>
        <v/>
      </c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8" t="n"/>
      <c r="M289" s="26">
        <f>IF(OR(L289="",AND(E289&lt;&gt;"Up",E289&lt;&gt;"Down")),"",IF(OR(L289="In line",L289="Mixed"),"Neutral data",IF(OR(AND(L289="Hotter",E289="Down"),AND(L289="Cooler",E289="Up")),"With data","Against data")))</f>
        <v/>
      </c>
      <c r="N289" s="28" t="n"/>
      <c r="O289" s="27" t="n"/>
      <c r="P289" s="27" t="n"/>
      <c r="Q289" s="28" t="n"/>
      <c r="R289" s="27" t="n"/>
      <c r="S289" s="29" t="n"/>
      <c r="T289" s="27" t="n"/>
      <c r="U289" s="27" t="n"/>
      <c r="V289" s="26">
        <f>IF(OR(AND(E289&lt;&gt;"Up",E289&lt;&gt;"Down"),NOT(ISNUMBER(S289)),IF(E289="Up",Q289,R289)=""),"",IF(S289&gt;=100,"Back to open",IF(OR(IF(E289="Up",Q289,R289)="1-5 min",IF(E289="Up",Q289,R289)="5-15 min"),"Continued",IF(S289&gt;=50,"Partial retrace","Stalled / chop"))))</f>
        <v/>
      </c>
      <c r="W289" s="26">
        <f>IF(OR(Q289="",R289=""),"",IFERROR(IF(AND(Q289="Not by 16:00",R289="Not by 16:00"),"Neither taken",IF(FIND("|"&amp;Q289&amp;"|","|1-5 min|5-15 min|15-60 min|9:30-11:00|11:00-16:00|Not by 16:00|")=FIND("|"&amp;R289&amp;"|","|1-5 min|5-15 min|15-60 min|9:30-11:00|11:00-16:00|Not by 16:00|"),"Same window",IF(FIND("|"&amp;Q289&amp;"|","|1-5 min|5-15 min|15-60 min|9:30-11:00|11:00-16:00|Not by 16:00|")&lt;FIND("|"&amp;R289&amp;"|","|1-5 min|5-15 min|15-60 min|9:30-11:00|11:00-16:00|Not by 16:00|"),IF(E289="Up","High first (main side)",IF(E289="Down","High first (wick side)","High first")),IF(E289="Down","Low first (main side)",IF(E289="Up","Low first (wick side)","Low first"))))),"Check entries"))</f>
        <v/>
      </c>
      <c r="X289" s="28" t="n"/>
      <c r="Y289" s="27" t="n"/>
      <c r="Z289" s="27" t="n"/>
      <c r="AA289" s="27" t="n"/>
      <c r="AB289" s="27" t="n"/>
      <c r="AC289" s="27" t="n"/>
      <c r="AD289" s="27" t="n"/>
      <c r="AE289" s="28" t="n"/>
      <c r="AF289" s="30" t="n"/>
      <c r="AG289" s="27" t="n"/>
    </row>
    <row r="290">
      <c r="A290" s="25" t="n"/>
      <c r="B290" s="26">
        <f>IF(ISNUMBER(A290),TEXT(A290,"ddd"),"")</f>
        <v/>
      </c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8" t="n"/>
      <c r="M290" s="26">
        <f>IF(OR(L290="",AND(E290&lt;&gt;"Up",E290&lt;&gt;"Down")),"",IF(OR(L290="In line",L290="Mixed"),"Neutral data",IF(OR(AND(L290="Hotter",E290="Down"),AND(L290="Cooler",E290="Up")),"With data","Against data")))</f>
        <v/>
      </c>
      <c r="N290" s="28" t="n"/>
      <c r="O290" s="27" t="n"/>
      <c r="P290" s="27" t="n"/>
      <c r="Q290" s="28" t="n"/>
      <c r="R290" s="27" t="n"/>
      <c r="S290" s="29" t="n"/>
      <c r="T290" s="27" t="n"/>
      <c r="U290" s="27" t="n"/>
      <c r="V290" s="26">
        <f>IF(OR(AND(E290&lt;&gt;"Up",E290&lt;&gt;"Down"),NOT(ISNUMBER(S290)),IF(E290="Up",Q290,R290)=""),"",IF(S290&gt;=100,"Back to open",IF(OR(IF(E290="Up",Q290,R290)="1-5 min",IF(E290="Up",Q290,R290)="5-15 min"),"Continued",IF(S290&gt;=50,"Partial retrace","Stalled / chop"))))</f>
        <v/>
      </c>
      <c r="W290" s="26">
        <f>IF(OR(Q290="",R290=""),"",IFERROR(IF(AND(Q290="Not by 16:00",R290="Not by 16:00"),"Neither taken",IF(FIND("|"&amp;Q290&amp;"|","|1-5 min|5-15 min|15-60 min|9:30-11:00|11:00-16:00|Not by 16:00|")=FIND("|"&amp;R290&amp;"|","|1-5 min|5-15 min|15-60 min|9:30-11:00|11:00-16:00|Not by 16:00|"),"Same window",IF(FIND("|"&amp;Q290&amp;"|","|1-5 min|5-15 min|15-60 min|9:30-11:00|11:00-16:00|Not by 16:00|")&lt;FIND("|"&amp;R290&amp;"|","|1-5 min|5-15 min|15-60 min|9:30-11:00|11:00-16:00|Not by 16:00|"),IF(E290="Up","High first (main side)",IF(E290="Down","High first (wick side)","High first")),IF(E290="Down","Low first (main side)",IF(E290="Up","Low first (wick side)","Low first"))))),"Check entries"))</f>
        <v/>
      </c>
      <c r="X290" s="28" t="n"/>
      <c r="Y290" s="27" t="n"/>
      <c r="Z290" s="27" t="n"/>
      <c r="AA290" s="27" t="n"/>
      <c r="AB290" s="27" t="n"/>
      <c r="AC290" s="27" t="n"/>
      <c r="AD290" s="27" t="n"/>
      <c r="AE290" s="28" t="n"/>
      <c r="AF290" s="30" t="n"/>
      <c r="AG290" s="27" t="n"/>
    </row>
    <row r="291">
      <c r="A291" s="25" t="n"/>
      <c r="B291" s="26">
        <f>IF(ISNUMBER(A291),TEXT(A291,"ddd"),"")</f>
        <v/>
      </c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8" t="n"/>
      <c r="M291" s="26">
        <f>IF(OR(L291="",AND(E291&lt;&gt;"Up",E291&lt;&gt;"Down")),"",IF(OR(L291="In line",L291="Mixed"),"Neutral data",IF(OR(AND(L291="Hotter",E291="Down"),AND(L291="Cooler",E291="Up")),"With data","Against data")))</f>
        <v/>
      </c>
      <c r="N291" s="28" t="n"/>
      <c r="O291" s="27" t="n"/>
      <c r="P291" s="27" t="n"/>
      <c r="Q291" s="28" t="n"/>
      <c r="R291" s="27" t="n"/>
      <c r="S291" s="29" t="n"/>
      <c r="T291" s="27" t="n"/>
      <c r="U291" s="27" t="n"/>
      <c r="V291" s="26">
        <f>IF(OR(AND(E291&lt;&gt;"Up",E291&lt;&gt;"Down"),NOT(ISNUMBER(S291)),IF(E291="Up",Q291,R291)=""),"",IF(S291&gt;=100,"Back to open",IF(OR(IF(E291="Up",Q291,R291)="1-5 min",IF(E291="Up",Q291,R291)="5-15 min"),"Continued",IF(S291&gt;=50,"Partial retrace","Stalled / chop"))))</f>
        <v/>
      </c>
      <c r="W291" s="26">
        <f>IF(OR(Q291="",R291=""),"",IFERROR(IF(AND(Q291="Not by 16:00",R291="Not by 16:00"),"Neither taken",IF(FIND("|"&amp;Q291&amp;"|","|1-5 min|5-15 min|15-60 min|9:30-11:00|11:00-16:00|Not by 16:00|")=FIND("|"&amp;R291&amp;"|","|1-5 min|5-15 min|15-60 min|9:30-11:00|11:00-16:00|Not by 16:00|"),"Same window",IF(FIND("|"&amp;Q291&amp;"|","|1-5 min|5-15 min|15-60 min|9:30-11:00|11:00-16:00|Not by 16:00|")&lt;FIND("|"&amp;R291&amp;"|","|1-5 min|5-15 min|15-60 min|9:30-11:00|11:00-16:00|Not by 16:00|"),IF(E291="Up","High first (main side)",IF(E291="Down","High first (wick side)","High first")),IF(E291="Down","Low first (main side)",IF(E291="Up","Low first (wick side)","Low first"))))),"Check entries"))</f>
        <v/>
      </c>
      <c r="X291" s="28" t="n"/>
      <c r="Y291" s="27" t="n"/>
      <c r="Z291" s="27" t="n"/>
      <c r="AA291" s="27" t="n"/>
      <c r="AB291" s="27" t="n"/>
      <c r="AC291" s="27" t="n"/>
      <c r="AD291" s="27" t="n"/>
      <c r="AE291" s="28" t="n"/>
      <c r="AF291" s="30" t="n"/>
      <c r="AG291" s="27" t="n"/>
    </row>
    <row r="292">
      <c r="A292" s="25" t="n"/>
      <c r="B292" s="26">
        <f>IF(ISNUMBER(A292),TEXT(A292,"ddd"),"")</f>
        <v/>
      </c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8" t="n"/>
      <c r="M292" s="26">
        <f>IF(OR(L292="",AND(E292&lt;&gt;"Up",E292&lt;&gt;"Down")),"",IF(OR(L292="In line",L292="Mixed"),"Neutral data",IF(OR(AND(L292="Hotter",E292="Down"),AND(L292="Cooler",E292="Up")),"With data","Against data")))</f>
        <v/>
      </c>
      <c r="N292" s="28" t="n"/>
      <c r="O292" s="27" t="n"/>
      <c r="P292" s="27" t="n"/>
      <c r="Q292" s="28" t="n"/>
      <c r="R292" s="27" t="n"/>
      <c r="S292" s="29" t="n"/>
      <c r="T292" s="27" t="n"/>
      <c r="U292" s="27" t="n"/>
      <c r="V292" s="26">
        <f>IF(OR(AND(E292&lt;&gt;"Up",E292&lt;&gt;"Down"),NOT(ISNUMBER(S292)),IF(E292="Up",Q292,R292)=""),"",IF(S292&gt;=100,"Back to open",IF(OR(IF(E292="Up",Q292,R292)="1-5 min",IF(E292="Up",Q292,R292)="5-15 min"),"Continued",IF(S292&gt;=50,"Partial retrace","Stalled / chop"))))</f>
        <v/>
      </c>
      <c r="W292" s="26">
        <f>IF(OR(Q292="",R292=""),"",IFERROR(IF(AND(Q292="Not by 16:00",R292="Not by 16:00"),"Neither taken",IF(FIND("|"&amp;Q292&amp;"|","|1-5 min|5-15 min|15-60 min|9:30-11:00|11:00-16:00|Not by 16:00|")=FIND("|"&amp;R292&amp;"|","|1-5 min|5-15 min|15-60 min|9:30-11:00|11:00-16:00|Not by 16:00|"),"Same window",IF(FIND("|"&amp;Q292&amp;"|","|1-5 min|5-15 min|15-60 min|9:30-11:00|11:00-16:00|Not by 16:00|")&lt;FIND("|"&amp;R292&amp;"|","|1-5 min|5-15 min|15-60 min|9:30-11:00|11:00-16:00|Not by 16:00|"),IF(E292="Up","High first (main side)",IF(E292="Down","High first (wick side)","High first")),IF(E292="Down","Low first (main side)",IF(E292="Up","Low first (wick side)","Low first"))))),"Check entries"))</f>
        <v/>
      </c>
      <c r="X292" s="28" t="n"/>
      <c r="Y292" s="27" t="n"/>
      <c r="Z292" s="27" t="n"/>
      <c r="AA292" s="27" t="n"/>
      <c r="AB292" s="27" t="n"/>
      <c r="AC292" s="27" t="n"/>
      <c r="AD292" s="27" t="n"/>
      <c r="AE292" s="28" t="n"/>
      <c r="AF292" s="30" t="n"/>
      <c r="AG292" s="27" t="n"/>
    </row>
    <row r="293">
      <c r="A293" s="25" t="n"/>
      <c r="B293" s="26">
        <f>IF(ISNUMBER(A293),TEXT(A293,"ddd"),"")</f>
        <v/>
      </c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8" t="n"/>
      <c r="M293" s="26">
        <f>IF(OR(L293="",AND(E293&lt;&gt;"Up",E293&lt;&gt;"Down")),"",IF(OR(L293="In line",L293="Mixed"),"Neutral data",IF(OR(AND(L293="Hotter",E293="Down"),AND(L293="Cooler",E293="Up")),"With data","Against data")))</f>
        <v/>
      </c>
      <c r="N293" s="28" t="n"/>
      <c r="O293" s="27" t="n"/>
      <c r="P293" s="27" t="n"/>
      <c r="Q293" s="28" t="n"/>
      <c r="R293" s="27" t="n"/>
      <c r="S293" s="29" t="n"/>
      <c r="T293" s="27" t="n"/>
      <c r="U293" s="27" t="n"/>
      <c r="V293" s="26">
        <f>IF(OR(AND(E293&lt;&gt;"Up",E293&lt;&gt;"Down"),NOT(ISNUMBER(S293)),IF(E293="Up",Q293,R293)=""),"",IF(S293&gt;=100,"Back to open",IF(OR(IF(E293="Up",Q293,R293)="1-5 min",IF(E293="Up",Q293,R293)="5-15 min"),"Continued",IF(S293&gt;=50,"Partial retrace","Stalled / chop"))))</f>
        <v/>
      </c>
      <c r="W293" s="26">
        <f>IF(OR(Q293="",R293=""),"",IFERROR(IF(AND(Q293="Not by 16:00",R293="Not by 16:00"),"Neither taken",IF(FIND("|"&amp;Q293&amp;"|","|1-5 min|5-15 min|15-60 min|9:30-11:00|11:00-16:00|Not by 16:00|")=FIND("|"&amp;R293&amp;"|","|1-5 min|5-15 min|15-60 min|9:30-11:00|11:00-16:00|Not by 16:00|"),"Same window",IF(FIND("|"&amp;Q293&amp;"|","|1-5 min|5-15 min|15-60 min|9:30-11:00|11:00-16:00|Not by 16:00|")&lt;FIND("|"&amp;R293&amp;"|","|1-5 min|5-15 min|15-60 min|9:30-11:00|11:00-16:00|Not by 16:00|"),IF(E293="Up","High first (main side)",IF(E293="Down","High first (wick side)","High first")),IF(E293="Down","Low first (main side)",IF(E293="Up","Low first (wick side)","Low first"))))),"Check entries"))</f>
        <v/>
      </c>
      <c r="X293" s="28" t="n"/>
      <c r="Y293" s="27" t="n"/>
      <c r="Z293" s="27" t="n"/>
      <c r="AA293" s="27" t="n"/>
      <c r="AB293" s="27" t="n"/>
      <c r="AC293" s="27" t="n"/>
      <c r="AD293" s="27" t="n"/>
      <c r="AE293" s="28" t="n"/>
      <c r="AF293" s="30" t="n"/>
      <c r="AG293" s="27" t="n"/>
    </row>
    <row r="294">
      <c r="A294" s="25" t="n"/>
      <c r="B294" s="26">
        <f>IF(ISNUMBER(A294),TEXT(A294,"ddd"),"")</f>
        <v/>
      </c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8" t="n"/>
      <c r="M294" s="26">
        <f>IF(OR(L294="",AND(E294&lt;&gt;"Up",E294&lt;&gt;"Down")),"",IF(OR(L294="In line",L294="Mixed"),"Neutral data",IF(OR(AND(L294="Hotter",E294="Down"),AND(L294="Cooler",E294="Up")),"With data","Against data")))</f>
        <v/>
      </c>
      <c r="N294" s="28" t="n"/>
      <c r="O294" s="27" t="n"/>
      <c r="P294" s="27" t="n"/>
      <c r="Q294" s="28" t="n"/>
      <c r="R294" s="27" t="n"/>
      <c r="S294" s="29" t="n"/>
      <c r="T294" s="27" t="n"/>
      <c r="U294" s="27" t="n"/>
      <c r="V294" s="26">
        <f>IF(OR(AND(E294&lt;&gt;"Up",E294&lt;&gt;"Down"),NOT(ISNUMBER(S294)),IF(E294="Up",Q294,R294)=""),"",IF(S294&gt;=100,"Back to open",IF(OR(IF(E294="Up",Q294,R294)="1-5 min",IF(E294="Up",Q294,R294)="5-15 min"),"Continued",IF(S294&gt;=50,"Partial retrace","Stalled / chop"))))</f>
        <v/>
      </c>
      <c r="W294" s="26">
        <f>IF(OR(Q294="",R294=""),"",IFERROR(IF(AND(Q294="Not by 16:00",R294="Not by 16:00"),"Neither taken",IF(FIND("|"&amp;Q294&amp;"|","|1-5 min|5-15 min|15-60 min|9:30-11:00|11:00-16:00|Not by 16:00|")=FIND("|"&amp;R294&amp;"|","|1-5 min|5-15 min|15-60 min|9:30-11:00|11:00-16:00|Not by 16:00|"),"Same window",IF(FIND("|"&amp;Q294&amp;"|","|1-5 min|5-15 min|15-60 min|9:30-11:00|11:00-16:00|Not by 16:00|")&lt;FIND("|"&amp;R294&amp;"|","|1-5 min|5-15 min|15-60 min|9:30-11:00|11:00-16:00|Not by 16:00|"),IF(E294="Up","High first (main side)",IF(E294="Down","High first (wick side)","High first")),IF(E294="Down","Low first (main side)",IF(E294="Up","Low first (wick side)","Low first"))))),"Check entries"))</f>
        <v/>
      </c>
      <c r="X294" s="28" t="n"/>
      <c r="Y294" s="27" t="n"/>
      <c r="Z294" s="27" t="n"/>
      <c r="AA294" s="27" t="n"/>
      <c r="AB294" s="27" t="n"/>
      <c r="AC294" s="27" t="n"/>
      <c r="AD294" s="27" t="n"/>
      <c r="AE294" s="28" t="n"/>
      <c r="AF294" s="30" t="n"/>
      <c r="AG294" s="27" t="n"/>
    </row>
    <row r="295">
      <c r="A295" s="25" t="n"/>
      <c r="B295" s="26">
        <f>IF(ISNUMBER(A295),TEXT(A295,"ddd"),"")</f>
        <v/>
      </c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8" t="n"/>
      <c r="M295" s="26">
        <f>IF(OR(L295="",AND(E295&lt;&gt;"Up",E295&lt;&gt;"Down")),"",IF(OR(L295="In line",L295="Mixed"),"Neutral data",IF(OR(AND(L295="Hotter",E295="Down"),AND(L295="Cooler",E295="Up")),"With data","Against data")))</f>
        <v/>
      </c>
      <c r="N295" s="28" t="n"/>
      <c r="O295" s="27" t="n"/>
      <c r="P295" s="27" t="n"/>
      <c r="Q295" s="28" t="n"/>
      <c r="R295" s="27" t="n"/>
      <c r="S295" s="29" t="n"/>
      <c r="T295" s="27" t="n"/>
      <c r="U295" s="27" t="n"/>
      <c r="V295" s="26">
        <f>IF(OR(AND(E295&lt;&gt;"Up",E295&lt;&gt;"Down"),NOT(ISNUMBER(S295)),IF(E295="Up",Q295,R295)=""),"",IF(S295&gt;=100,"Back to open",IF(OR(IF(E295="Up",Q295,R295)="1-5 min",IF(E295="Up",Q295,R295)="5-15 min"),"Continued",IF(S295&gt;=50,"Partial retrace","Stalled / chop"))))</f>
        <v/>
      </c>
      <c r="W295" s="26">
        <f>IF(OR(Q295="",R295=""),"",IFERROR(IF(AND(Q295="Not by 16:00",R295="Not by 16:00"),"Neither taken",IF(FIND("|"&amp;Q295&amp;"|","|1-5 min|5-15 min|15-60 min|9:30-11:00|11:00-16:00|Not by 16:00|")=FIND("|"&amp;R295&amp;"|","|1-5 min|5-15 min|15-60 min|9:30-11:00|11:00-16:00|Not by 16:00|"),"Same window",IF(FIND("|"&amp;Q295&amp;"|","|1-5 min|5-15 min|15-60 min|9:30-11:00|11:00-16:00|Not by 16:00|")&lt;FIND("|"&amp;R295&amp;"|","|1-5 min|5-15 min|15-60 min|9:30-11:00|11:00-16:00|Not by 16:00|"),IF(E295="Up","High first (main side)",IF(E295="Down","High first (wick side)","High first")),IF(E295="Down","Low first (main side)",IF(E295="Up","Low first (wick side)","Low first"))))),"Check entries"))</f>
        <v/>
      </c>
      <c r="X295" s="28" t="n"/>
      <c r="Y295" s="27" t="n"/>
      <c r="Z295" s="27" t="n"/>
      <c r="AA295" s="27" t="n"/>
      <c r="AB295" s="27" t="n"/>
      <c r="AC295" s="27" t="n"/>
      <c r="AD295" s="27" t="n"/>
      <c r="AE295" s="28" t="n"/>
      <c r="AF295" s="30" t="n"/>
      <c r="AG295" s="27" t="n"/>
    </row>
    <row r="296">
      <c r="A296" s="25" t="n"/>
      <c r="B296" s="26">
        <f>IF(ISNUMBER(A296),TEXT(A296,"ddd"),"")</f>
        <v/>
      </c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8" t="n"/>
      <c r="M296" s="26">
        <f>IF(OR(L296="",AND(E296&lt;&gt;"Up",E296&lt;&gt;"Down")),"",IF(OR(L296="In line",L296="Mixed"),"Neutral data",IF(OR(AND(L296="Hotter",E296="Down"),AND(L296="Cooler",E296="Up")),"With data","Against data")))</f>
        <v/>
      </c>
      <c r="N296" s="28" t="n"/>
      <c r="O296" s="27" t="n"/>
      <c r="P296" s="27" t="n"/>
      <c r="Q296" s="28" t="n"/>
      <c r="R296" s="27" t="n"/>
      <c r="S296" s="29" t="n"/>
      <c r="T296" s="27" t="n"/>
      <c r="U296" s="27" t="n"/>
      <c r="V296" s="26">
        <f>IF(OR(AND(E296&lt;&gt;"Up",E296&lt;&gt;"Down"),NOT(ISNUMBER(S296)),IF(E296="Up",Q296,R296)=""),"",IF(S296&gt;=100,"Back to open",IF(OR(IF(E296="Up",Q296,R296)="1-5 min",IF(E296="Up",Q296,R296)="5-15 min"),"Continued",IF(S296&gt;=50,"Partial retrace","Stalled / chop"))))</f>
        <v/>
      </c>
      <c r="W296" s="26">
        <f>IF(OR(Q296="",R296=""),"",IFERROR(IF(AND(Q296="Not by 16:00",R296="Not by 16:00"),"Neither taken",IF(FIND("|"&amp;Q296&amp;"|","|1-5 min|5-15 min|15-60 min|9:30-11:00|11:00-16:00|Not by 16:00|")=FIND("|"&amp;R296&amp;"|","|1-5 min|5-15 min|15-60 min|9:30-11:00|11:00-16:00|Not by 16:00|"),"Same window",IF(FIND("|"&amp;Q296&amp;"|","|1-5 min|5-15 min|15-60 min|9:30-11:00|11:00-16:00|Not by 16:00|")&lt;FIND("|"&amp;R296&amp;"|","|1-5 min|5-15 min|15-60 min|9:30-11:00|11:00-16:00|Not by 16:00|"),IF(E296="Up","High first (main side)",IF(E296="Down","High first (wick side)","High first")),IF(E296="Down","Low first (main side)",IF(E296="Up","Low first (wick side)","Low first"))))),"Check entries"))</f>
        <v/>
      </c>
      <c r="X296" s="28" t="n"/>
      <c r="Y296" s="27" t="n"/>
      <c r="Z296" s="27" t="n"/>
      <c r="AA296" s="27" t="n"/>
      <c r="AB296" s="27" t="n"/>
      <c r="AC296" s="27" t="n"/>
      <c r="AD296" s="27" t="n"/>
      <c r="AE296" s="28" t="n"/>
      <c r="AF296" s="30" t="n"/>
      <c r="AG296" s="27" t="n"/>
    </row>
    <row r="297">
      <c r="A297" s="25" t="n"/>
      <c r="B297" s="26">
        <f>IF(ISNUMBER(A297),TEXT(A297,"ddd"),"")</f>
        <v/>
      </c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8" t="n"/>
      <c r="M297" s="26">
        <f>IF(OR(L297="",AND(E297&lt;&gt;"Up",E297&lt;&gt;"Down")),"",IF(OR(L297="In line",L297="Mixed"),"Neutral data",IF(OR(AND(L297="Hotter",E297="Down"),AND(L297="Cooler",E297="Up")),"With data","Against data")))</f>
        <v/>
      </c>
      <c r="N297" s="28" t="n"/>
      <c r="O297" s="27" t="n"/>
      <c r="P297" s="27" t="n"/>
      <c r="Q297" s="28" t="n"/>
      <c r="R297" s="27" t="n"/>
      <c r="S297" s="29" t="n"/>
      <c r="T297" s="27" t="n"/>
      <c r="U297" s="27" t="n"/>
      <c r="V297" s="26">
        <f>IF(OR(AND(E297&lt;&gt;"Up",E297&lt;&gt;"Down"),NOT(ISNUMBER(S297)),IF(E297="Up",Q297,R297)=""),"",IF(S297&gt;=100,"Back to open",IF(OR(IF(E297="Up",Q297,R297)="1-5 min",IF(E297="Up",Q297,R297)="5-15 min"),"Continued",IF(S297&gt;=50,"Partial retrace","Stalled / chop"))))</f>
        <v/>
      </c>
      <c r="W297" s="26">
        <f>IF(OR(Q297="",R297=""),"",IFERROR(IF(AND(Q297="Not by 16:00",R297="Not by 16:00"),"Neither taken",IF(FIND("|"&amp;Q297&amp;"|","|1-5 min|5-15 min|15-60 min|9:30-11:00|11:00-16:00|Not by 16:00|")=FIND("|"&amp;R297&amp;"|","|1-5 min|5-15 min|15-60 min|9:30-11:00|11:00-16:00|Not by 16:00|"),"Same window",IF(FIND("|"&amp;Q297&amp;"|","|1-5 min|5-15 min|15-60 min|9:30-11:00|11:00-16:00|Not by 16:00|")&lt;FIND("|"&amp;R297&amp;"|","|1-5 min|5-15 min|15-60 min|9:30-11:00|11:00-16:00|Not by 16:00|"),IF(E297="Up","High first (main side)",IF(E297="Down","High first (wick side)","High first")),IF(E297="Down","Low first (main side)",IF(E297="Up","Low first (wick side)","Low first"))))),"Check entries"))</f>
        <v/>
      </c>
      <c r="X297" s="28" t="n"/>
      <c r="Y297" s="27" t="n"/>
      <c r="Z297" s="27" t="n"/>
      <c r="AA297" s="27" t="n"/>
      <c r="AB297" s="27" t="n"/>
      <c r="AC297" s="27" t="n"/>
      <c r="AD297" s="27" t="n"/>
      <c r="AE297" s="28" t="n"/>
      <c r="AF297" s="30" t="n"/>
      <c r="AG297" s="27" t="n"/>
    </row>
    <row r="298">
      <c r="A298" s="25" t="n"/>
      <c r="B298" s="26">
        <f>IF(ISNUMBER(A298),TEXT(A298,"ddd"),"")</f>
        <v/>
      </c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8" t="n"/>
      <c r="M298" s="26">
        <f>IF(OR(L298="",AND(E298&lt;&gt;"Up",E298&lt;&gt;"Down")),"",IF(OR(L298="In line",L298="Mixed"),"Neutral data",IF(OR(AND(L298="Hotter",E298="Down"),AND(L298="Cooler",E298="Up")),"With data","Against data")))</f>
        <v/>
      </c>
      <c r="N298" s="28" t="n"/>
      <c r="O298" s="27" t="n"/>
      <c r="P298" s="27" t="n"/>
      <c r="Q298" s="28" t="n"/>
      <c r="R298" s="27" t="n"/>
      <c r="S298" s="29" t="n"/>
      <c r="T298" s="27" t="n"/>
      <c r="U298" s="27" t="n"/>
      <c r="V298" s="26">
        <f>IF(OR(AND(E298&lt;&gt;"Up",E298&lt;&gt;"Down"),NOT(ISNUMBER(S298)),IF(E298="Up",Q298,R298)=""),"",IF(S298&gt;=100,"Back to open",IF(OR(IF(E298="Up",Q298,R298)="1-5 min",IF(E298="Up",Q298,R298)="5-15 min"),"Continued",IF(S298&gt;=50,"Partial retrace","Stalled / chop"))))</f>
        <v/>
      </c>
      <c r="W298" s="26">
        <f>IF(OR(Q298="",R298=""),"",IFERROR(IF(AND(Q298="Not by 16:00",R298="Not by 16:00"),"Neither taken",IF(FIND("|"&amp;Q298&amp;"|","|1-5 min|5-15 min|15-60 min|9:30-11:00|11:00-16:00|Not by 16:00|")=FIND("|"&amp;R298&amp;"|","|1-5 min|5-15 min|15-60 min|9:30-11:00|11:00-16:00|Not by 16:00|"),"Same window",IF(FIND("|"&amp;Q298&amp;"|","|1-5 min|5-15 min|15-60 min|9:30-11:00|11:00-16:00|Not by 16:00|")&lt;FIND("|"&amp;R298&amp;"|","|1-5 min|5-15 min|15-60 min|9:30-11:00|11:00-16:00|Not by 16:00|"),IF(E298="Up","High first (main side)",IF(E298="Down","High first (wick side)","High first")),IF(E298="Down","Low first (main side)",IF(E298="Up","Low first (wick side)","Low first"))))),"Check entries"))</f>
        <v/>
      </c>
      <c r="X298" s="28" t="n"/>
      <c r="Y298" s="27" t="n"/>
      <c r="Z298" s="27" t="n"/>
      <c r="AA298" s="27" t="n"/>
      <c r="AB298" s="27" t="n"/>
      <c r="AC298" s="27" t="n"/>
      <c r="AD298" s="27" t="n"/>
      <c r="AE298" s="28" t="n"/>
      <c r="AF298" s="30" t="n"/>
      <c r="AG298" s="27" t="n"/>
    </row>
    <row r="299">
      <c r="A299" s="25" t="n"/>
      <c r="B299" s="26">
        <f>IF(ISNUMBER(A299),TEXT(A299,"ddd"),"")</f>
        <v/>
      </c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8" t="n"/>
      <c r="M299" s="26">
        <f>IF(OR(L299="",AND(E299&lt;&gt;"Up",E299&lt;&gt;"Down")),"",IF(OR(L299="In line",L299="Mixed"),"Neutral data",IF(OR(AND(L299="Hotter",E299="Down"),AND(L299="Cooler",E299="Up")),"With data","Against data")))</f>
        <v/>
      </c>
      <c r="N299" s="28" t="n"/>
      <c r="O299" s="27" t="n"/>
      <c r="P299" s="27" t="n"/>
      <c r="Q299" s="28" t="n"/>
      <c r="R299" s="27" t="n"/>
      <c r="S299" s="29" t="n"/>
      <c r="T299" s="27" t="n"/>
      <c r="U299" s="27" t="n"/>
      <c r="V299" s="26">
        <f>IF(OR(AND(E299&lt;&gt;"Up",E299&lt;&gt;"Down"),NOT(ISNUMBER(S299)),IF(E299="Up",Q299,R299)=""),"",IF(S299&gt;=100,"Back to open",IF(OR(IF(E299="Up",Q299,R299)="1-5 min",IF(E299="Up",Q299,R299)="5-15 min"),"Continued",IF(S299&gt;=50,"Partial retrace","Stalled / chop"))))</f>
        <v/>
      </c>
      <c r="W299" s="26">
        <f>IF(OR(Q299="",R299=""),"",IFERROR(IF(AND(Q299="Not by 16:00",R299="Not by 16:00"),"Neither taken",IF(FIND("|"&amp;Q299&amp;"|","|1-5 min|5-15 min|15-60 min|9:30-11:00|11:00-16:00|Not by 16:00|")=FIND("|"&amp;R299&amp;"|","|1-5 min|5-15 min|15-60 min|9:30-11:00|11:00-16:00|Not by 16:00|"),"Same window",IF(FIND("|"&amp;Q299&amp;"|","|1-5 min|5-15 min|15-60 min|9:30-11:00|11:00-16:00|Not by 16:00|")&lt;FIND("|"&amp;R299&amp;"|","|1-5 min|5-15 min|15-60 min|9:30-11:00|11:00-16:00|Not by 16:00|"),IF(E299="Up","High first (main side)",IF(E299="Down","High first (wick side)","High first")),IF(E299="Down","Low first (main side)",IF(E299="Up","Low first (wick side)","Low first"))))),"Check entries"))</f>
        <v/>
      </c>
      <c r="X299" s="28" t="n"/>
      <c r="Y299" s="27" t="n"/>
      <c r="Z299" s="27" t="n"/>
      <c r="AA299" s="27" t="n"/>
      <c r="AB299" s="27" t="n"/>
      <c r="AC299" s="27" t="n"/>
      <c r="AD299" s="27" t="n"/>
      <c r="AE299" s="28" t="n"/>
      <c r="AF299" s="30" t="n"/>
      <c r="AG299" s="27" t="n"/>
    </row>
    <row r="300">
      <c r="A300" s="25" t="n"/>
      <c r="B300" s="26">
        <f>IF(ISNUMBER(A300),TEXT(A300,"ddd"),"")</f>
        <v/>
      </c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8" t="n"/>
      <c r="M300" s="26">
        <f>IF(OR(L300="",AND(E300&lt;&gt;"Up",E300&lt;&gt;"Down")),"",IF(OR(L300="In line",L300="Mixed"),"Neutral data",IF(OR(AND(L300="Hotter",E300="Down"),AND(L300="Cooler",E300="Up")),"With data","Against data")))</f>
        <v/>
      </c>
      <c r="N300" s="28" t="n"/>
      <c r="O300" s="27" t="n"/>
      <c r="P300" s="27" t="n"/>
      <c r="Q300" s="28" t="n"/>
      <c r="R300" s="27" t="n"/>
      <c r="S300" s="29" t="n"/>
      <c r="T300" s="27" t="n"/>
      <c r="U300" s="27" t="n"/>
      <c r="V300" s="26">
        <f>IF(OR(AND(E300&lt;&gt;"Up",E300&lt;&gt;"Down"),NOT(ISNUMBER(S300)),IF(E300="Up",Q300,R300)=""),"",IF(S300&gt;=100,"Back to open",IF(OR(IF(E300="Up",Q300,R300)="1-5 min",IF(E300="Up",Q300,R300)="5-15 min"),"Continued",IF(S300&gt;=50,"Partial retrace","Stalled / chop"))))</f>
        <v/>
      </c>
      <c r="W300" s="26">
        <f>IF(OR(Q300="",R300=""),"",IFERROR(IF(AND(Q300="Not by 16:00",R300="Not by 16:00"),"Neither taken",IF(FIND("|"&amp;Q300&amp;"|","|1-5 min|5-15 min|15-60 min|9:30-11:00|11:00-16:00|Not by 16:00|")=FIND("|"&amp;R300&amp;"|","|1-5 min|5-15 min|15-60 min|9:30-11:00|11:00-16:00|Not by 16:00|"),"Same window",IF(FIND("|"&amp;Q300&amp;"|","|1-5 min|5-15 min|15-60 min|9:30-11:00|11:00-16:00|Not by 16:00|")&lt;FIND("|"&amp;R300&amp;"|","|1-5 min|5-15 min|15-60 min|9:30-11:00|11:00-16:00|Not by 16:00|"),IF(E300="Up","High first (main side)",IF(E300="Down","High first (wick side)","High first")),IF(E300="Down","Low first (main side)",IF(E300="Up","Low first (wick side)","Low first"))))),"Check entries"))</f>
        <v/>
      </c>
      <c r="X300" s="28" t="n"/>
      <c r="Y300" s="27" t="n"/>
      <c r="Z300" s="27" t="n"/>
      <c r="AA300" s="27" t="n"/>
      <c r="AB300" s="27" t="n"/>
      <c r="AC300" s="27" t="n"/>
      <c r="AD300" s="27" t="n"/>
      <c r="AE300" s="28" t="n"/>
      <c r="AF300" s="30" t="n"/>
      <c r="AG300" s="27" t="n"/>
    </row>
    <row r="301">
      <c r="A301" s="25" t="n"/>
      <c r="B301" s="26">
        <f>IF(ISNUMBER(A301),TEXT(A301,"ddd"),"")</f>
        <v/>
      </c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8" t="n"/>
      <c r="M301" s="26">
        <f>IF(OR(L301="",AND(E301&lt;&gt;"Up",E301&lt;&gt;"Down")),"",IF(OR(L301="In line",L301="Mixed"),"Neutral data",IF(OR(AND(L301="Hotter",E301="Down"),AND(L301="Cooler",E301="Up")),"With data","Against data")))</f>
        <v/>
      </c>
      <c r="N301" s="28" t="n"/>
      <c r="O301" s="27" t="n"/>
      <c r="P301" s="27" t="n"/>
      <c r="Q301" s="28" t="n"/>
      <c r="R301" s="27" t="n"/>
      <c r="S301" s="29" t="n"/>
      <c r="T301" s="27" t="n"/>
      <c r="U301" s="27" t="n"/>
      <c r="V301" s="26">
        <f>IF(OR(AND(E301&lt;&gt;"Up",E301&lt;&gt;"Down"),NOT(ISNUMBER(S301)),IF(E301="Up",Q301,R301)=""),"",IF(S301&gt;=100,"Back to open",IF(OR(IF(E301="Up",Q301,R301)="1-5 min",IF(E301="Up",Q301,R301)="5-15 min"),"Continued",IF(S301&gt;=50,"Partial retrace","Stalled / chop"))))</f>
        <v/>
      </c>
      <c r="W301" s="26">
        <f>IF(OR(Q301="",R301=""),"",IFERROR(IF(AND(Q301="Not by 16:00",R301="Not by 16:00"),"Neither taken",IF(FIND("|"&amp;Q301&amp;"|","|1-5 min|5-15 min|15-60 min|9:30-11:00|11:00-16:00|Not by 16:00|")=FIND("|"&amp;R301&amp;"|","|1-5 min|5-15 min|15-60 min|9:30-11:00|11:00-16:00|Not by 16:00|"),"Same window",IF(FIND("|"&amp;Q301&amp;"|","|1-5 min|5-15 min|15-60 min|9:30-11:00|11:00-16:00|Not by 16:00|")&lt;FIND("|"&amp;R301&amp;"|","|1-5 min|5-15 min|15-60 min|9:30-11:00|11:00-16:00|Not by 16:00|"),IF(E301="Up","High first (main side)",IF(E301="Down","High first (wick side)","High first")),IF(E301="Down","Low first (main side)",IF(E301="Up","Low first (wick side)","Low first"))))),"Check entries"))</f>
        <v/>
      </c>
      <c r="X301" s="28" t="n"/>
      <c r="Y301" s="27" t="n"/>
      <c r="Z301" s="27" t="n"/>
      <c r="AA301" s="27" t="n"/>
      <c r="AB301" s="27" t="n"/>
      <c r="AC301" s="27" t="n"/>
      <c r="AD301" s="27" t="n"/>
      <c r="AE301" s="28" t="n"/>
      <c r="AF301" s="30" t="n"/>
      <c r="AG301" s="27" t="n"/>
    </row>
    <row r="302">
      <c r="A302" s="25" t="n"/>
      <c r="B302" s="26">
        <f>IF(ISNUMBER(A302),TEXT(A302,"ddd"),"")</f>
        <v/>
      </c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8" t="n"/>
      <c r="M302" s="26">
        <f>IF(OR(L302="",AND(E302&lt;&gt;"Up",E302&lt;&gt;"Down")),"",IF(OR(L302="In line",L302="Mixed"),"Neutral data",IF(OR(AND(L302="Hotter",E302="Down"),AND(L302="Cooler",E302="Up")),"With data","Against data")))</f>
        <v/>
      </c>
      <c r="N302" s="28" t="n"/>
      <c r="O302" s="27" t="n"/>
      <c r="P302" s="27" t="n"/>
      <c r="Q302" s="28" t="n"/>
      <c r="R302" s="27" t="n"/>
      <c r="S302" s="29" t="n"/>
      <c r="T302" s="27" t="n"/>
      <c r="U302" s="27" t="n"/>
      <c r="V302" s="26">
        <f>IF(OR(AND(E302&lt;&gt;"Up",E302&lt;&gt;"Down"),NOT(ISNUMBER(S302)),IF(E302="Up",Q302,R302)=""),"",IF(S302&gt;=100,"Back to open",IF(OR(IF(E302="Up",Q302,R302)="1-5 min",IF(E302="Up",Q302,R302)="5-15 min"),"Continued",IF(S302&gt;=50,"Partial retrace","Stalled / chop"))))</f>
        <v/>
      </c>
      <c r="W302" s="26">
        <f>IF(OR(Q302="",R302=""),"",IFERROR(IF(AND(Q302="Not by 16:00",R302="Not by 16:00"),"Neither taken",IF(FIND("|"&amp;Q302&amp;"|","|1-5 min|5-15 min|15-60 min|9:30-11:00|11:00-16:00|Not by 16:00|")=FIND("|"&amp;R302&amp;"|","|1-5 min|5-15 min|15-60 min|9:30-11:00|11:00-16:00|Not by 16:00|"),"Same window",IF(FIND("|"&amp;Q302&amp;"|","|1-5 min|5-15 min|15-60 min|9:30-11:00|11:00-16:00|Not by 16:00|")&lt;FIND("|"&amp;R302&amp;"|","|1-5 min|5-15 min|15-60 min|9:30-11:00|11:00-16:00|Not by 16:00|"),IF(E302="Up","High first (main side)",IF(E302="Down","High first (wick side)","High first")),IF(E302="Down","Low first (main side)",IF(E302="Up","Low first (wick side)","Low first"))))),"Check entries"))</f>
        <v/>
      </c>
      <c r="X302" s="28" t="n"/>
      <c r="Y302" s="27" t="n"/>
      <c r="Z302" s="27" t="n"/>
      <c r="AA302" s="27" t="n"/>
      <c r="AB302" s="27" t="n"/>
      <c r="AC302" s="27" t="n"/>
      <c r="AD302" s="27" t="n"/>
      <c r="AE302" s="28" t="n"/>
      <c r="AF302" s="30" t="n"/>
      <c r="AG302" s="27" t="n"/>
    </row>
    <row r="303">
      <c r="A303" s="25" t="n"/>
      <c r="B303" s="26">
        <f>IF(ISNUMBER(A303),TEXT(A303,"ddd"),"")</f>
        <v/>
      </c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8" t="n"/>
      <c r="M303" s="26">
        <f>IF(OR(L303="",AND(E303&lt;&gt;"Up",E303&lt;&gt;"Down")),"",IF(OR(L303="In line",L303="Mixed"),"Neutral data",IF(OR(AND(L303="Hotter",E303="Down"),AND(L303="Cooler",E303="Up")),"With data","Against data")))</f>
        <v/>
      </c>
      <c r="N303" s="28" t="n"/>
      <c r="O303" s="27" t="n"/>
      <c r="P303" s="27" t="n"/>
      <c r="Q303" s="28" t="n"/>
      <c r="R303" s="27" t="n"/>
      <c r="S303" s="29" t="n"/>
      <c r="T303" s="27" t="n"/>
      <c r="U303" s="27" t="n"/>
      <c r="V303" s="26">
        <f>IF(OR(AND(E303&lt;&gt;"Up",E303&lt;&gt;"Down"),NOT(ISNUMBER(S303)),IF(E303="Up",Q303,R303)=""),"",IF(S303&gt;=100,"Back to open",IF(OR(IF(E303="Up",Q303,R303)="1-5 min",IF(E303="Up",Q303,R303)="5-15 min"),"Continued",IF(S303&gt;=50,"Partial retrace","Stalled / chop"))))</f>
        <v/>
      </c>
      <c r="W303" s="26">
        <f>IF(OR(Q303="",R303=""),"",IFERROR(IF(AND(Q303="Not by 16:00",R303="Not by 16:00"),"Neither taken",IF(FIND("|"&amp;Q303&amp;"|","|1-5 min|5-15 min|15-60 min|9:30-11:00|11:00-16:00|Not by 16:00|")=FIND("|"&amp;R303&amp;"|","|1-5 min|5-15 min|15-60 min|9:30-11:00|11:00-16:00|Not by 16:00|"),"Same window",IF(FIND("|"&amp;Q303&amp;"|","|1-5 min|5-15 min|15-60 min|9:30-11:00|11:00-16:00|Not by 16:00|")&lt;FIND("|"&amp;R303&amp;"|","|1-5 min|5-15 min|15-60 min|9:30-11:00|11:00-16:00|Not by 16:00|"),IF(E303="Up","High first (main side)",IF(E303="Down","High first (wick side)","High first")),IF(E303="Down","Low first (main side)",IF(E303="Up","Low first (wick side)","Low first"))))),"Check entries"))</f>
        <v/>
      </c>
      <c r="X303" s="28" t="n"/>
      <c r="Y303" s="27" t="n"/>
      <c r="Z303" s="27" t="n"/>
      <c r="AA303" s="27" t="n"/>
      <c r="AB303" s="27" t="n"/>
      <c r="AC303" s="27" t="n"/>
      <c r="AD303" s="27" t="n"/>
      <c r="AE303" s="28" t="n"/>
      <c r="AF303" s="30" t="n"/>
      <c r="AG303" s="27" t="n"/>
    </row>
    <row r="304">
      <c r="A304" s="25" t="n"/>
      <c r="B304" s="26">
        <f>IF(ISNUMBER(A304),TEXT(A304,"ddd"),"")</f>
        <v/>
      </c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8" t="n"/>
      <c r="M304" s="26">
        <f>IF(OR(L304="",AND(E304&lt;&gt;"Up",E304&lt;&gt;"Down")),"",IF(OR(L304="In line",L304="Mixed"),"Neutral data",IF(OR(AND(L304="Hotter",E304="Down"),AND(L304="Cooler",E304="Up")),"With data","Against data")))</f>
        <v/>
      </c>
      <c r="N304" s="28" t="n"/>
      <c r="O304" s="27" t="n"/>
      <c r="P304" s="27" t="n"/>
      <c r="Q304" s="28" t="n"/>
      <c r="R304" s="27" t="n"/>
      <c r="S304" s="29" t="n"/>
      <c r="T304" s="27" t="n"/>
      <c r="U304" s="27" t="n"/>
      <c r="V304" s="26">
        <f>IF(OR(AND(E304&lt;&gt;"Up",E304&lt;&gt;"Down"),NOT(ISNUMBER(S304)),IF(E304="Up",Q304,R304)=""),"",IF(S304&gt;=100,"Back to open",IF(OR(IF(E304="Up",Q304,R304)="1-5 min",IF(E304="Up",Q304,R304)="5-15 min"),"Continued",IF(S304&gt;=50,"Partial retrace","Stalled / chop"))))</f>
        <v/>
      </c>
      <c r="W304" s="26">
        <f>IF(OR(Q304="",R304=""),"",IFERROR(IF(AND(Q304="Not by 16:00",R304="Not by 16:00"),"Neither taken",IF(FIND("|"&amp;Q304&amp;"|","|1-5 min|5-15 min|15-60 min|9:30-11:00|11:00-16:00|Not by 16:00|")=FIND("|"&amp;R304&amp;"|","|1-5 min|5-15 min|15-60 min|9:30-11:00|11:00-16:00|Not by 16:00|"),"Same window",IF(FIND("|"&amp;Q304&amp;"|","|1-5 min|5-15 min|15-60 min|9:30-11:00|11:00-16:00|Not by 16:00|")&lt;FIND("|"&amp;R304&amp;"|","|1-5 min|5-15 min|15-60 min|9:30-11:00|11:00-16:00|Not by 16:00|"),IF(E304="Up","High first (main side)",IF(E304="Down","High first (wick side)","High first")),IF(E304="Down","Low first (main side)",IF(E304="Up","Low first (wick side)","Low first"))))),"Check entries"))</f>
        <v/>
      </c>
      <c r="X304" s="28" t="n"/>
      <c r="Y304" s="27" t="n"/>
      <c r="Z304" s="27" t="n"/>
      <c r="AA304" s="27" t="n"/>
      <c r="AB304" s="27" t="n"/>
      <c r="AC304" s="27" t="n"/>
      <c r="AD304" s="27" t="n"/>
      <c r="AE304" s="28" t="n"/>
      <c r="AF304" s="30" t="n"/>
      <c r="AG304" s="27" t="n"/>
    </row>
    <row r="305">
      <c r="A305" s="25" t="n"/>
      <c r="B305" s="26">
        <f>IF(ISNUMBER(A305),TEXT(A305,"ddd"),"")</f>
        <v/>
      </c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8" t="n"/>
      <c r="M305" s="26">
        <f>IF(OR(L305="",AND(E305&lt;&gt;"Up",E305&lt;&gt;"Down")),"",IF(OR(L305="In line",L305="Mixed"),"Neutral data",IF(OR(AND(L305="Hotter",E305="Down"),AND(L305="Cooler",E305="Up")),"With data","Against data")))</f>
        <v/>
      </c>
      <c r="N305" s="28" t="n"/>
      <c r="O305" s="27" t="n"/>
      <c r="P305" s="27" t="n"/>
      <c r="Q305" s="28" t="n"/>
      <c r="R305" s="27" t="n"/>
      <c r="S305" s="29" t="n"/>
      <c r="T305" s="27" t="n"/>
      <c r="U305" s="27" t="n"/>
      <c r="V305" s="26">
        <f>IF(OR(AND(E305&lt;&gt;"Up",E305&lt;&gt;"Down"),NOT(ISNUMBER(S305)),IF(E305="Up",Q305,R305)=""),"",IF(S305&gt;=100,"Back to open",IF(OR(IF(E305="Up",Q305,R305)="1-5 min",IF(E305="Up",Q305,R305)="5-15 min"),"Continued",IF(S305&gt;=50,"Partial retrace","Stalled / chop"))))</f>
        <v/>
      </c>
      <c r="W305" s="26">
        <f>IF(OR(Q305="",R305=""),"",IFERROR(IF(AND(Q305="Not by 16:00",R305="Not by 16:00"),"Neither taken",IF(FIND("|"&amp;Q305&amp;"|","|1-5 min|5-15 min|15-60 min|9:30-11:00|11:00-16:00|Not by 16:00|")=FIND("|"&amp;R305&amp;"|","|1-5 min|5-15 min|15-60 min|9:30-11:00|11:00-16:00|Not by 16:00|"),"Same window",IF(FIND("|"&amp;Q305&amp;"|","|1-5 min|5-15 min|15-60 min|9:30-11:00|11:00-16:00|Not by 16:00|")&lt;FIND("|"&amp;R305&amp;"|","|1-5 min|5-15 min|15-60 min|9:30-11:00|11:00-16:00|Not by 16:00|"),IF(E305="Up","High first (main side)",IF(E305="Down","High first (wick side)","High first")),IF(E305="Down","Low first (main side)",IF(E305="Up","Low first (wick side)","Low first"))))),"Check entries"))</f>
        <v/>
      </c>
      <c r="X305" s="28" t="n"/>
      <c r="Y305" s="27" t="n"/>
      <c r="Z305" s="27" t="n"/>
      <c r="AA305" s="27" t="n"/>
      <c r="AB305" s="27" t="n"/>
      <c r="AC305" s="27" t="n"/>
      <c r="AD305" s="27" t="n"/>
      <c r="AE305" s="28" t="n"/>
      <c r="AF305" s="30" t="n"/>
      <c r="AG305" s="27" t="n"/>
    </row>
    <row r="306">
      <c r="A306" s="25" t="n"/>
      <c r="B306" s="26">
        <f>IF(ISNUMBER(A306),TEXT(A306,"ddd"),"")</f>
        <v/>
      </c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8" t="n"/>
      <c r="M306" s="26">
        <f>IF(OR(L306="",AND(E306&lt;&gt;"Up",E306&lt;&gt;"Down")),"",IF(OR(L306="In line",L306="Mixed"),"Neutral data",IF(OR(AND(L306="Hotter",E306="Down"),AND(L306="Cooler",E306="Up")),"With data","Against data")))</f>
        <v/>
      </c>
      <c r="N306" s="28" t="n"/>
      <c r="O306" s="27" t="n"/>
      <c r="P306" s="27" t="n"/>
      <c r="Q306" s="28" t="n"/>
      <c r="R306" s="27" t="n"/>
      <c r="S306" s="29" t="n"/>
      <c r="T306" s="27" t="n"/>
      <c r="U306" s="27" t="n"/>
      <c r="V306" s="26">
        <f>IF(OR(AND(E306&lt;&gt;"Up",E306&lt;&gt;"Down"),NOT(ISNUMBER(S306)),IF(E306="Up",Q306,R306)=""),"",IF(S306&gt;=100,"Back to open",IF(OR(IF(E306="Up",Q306,R306)="1-5 min",IF(E306="Up",Q306,R306)="5-15 min"),"Continued",IF(S306&gt;=50,"Partial retrace","Stalled / chop"))))</f>
        <v/>
      </c>
      <c r="W306" s="26">
        <f>IF(OR(Q306="",R306=""),"",IFERROR(IF(AND(Q306="Not by 16:00",R306="Not by 16:00"),"Neither taken",IF(FIND("|"&amp;Q306&amp;"|","|1-5 min|5-15 min|15-60 min|9:30-11:00|11:00-16:00|Not by 16:00|")=FIND("|"&amp;R306&amp;"|","|1-5 min|5-15 min|15-60 min|9:30-11:00|11:00-16:00|Not by 16:00|"),"Same window",IF(FIND("|"&amp;Q306&amp;"|","|1-5 min|5-15 min|15-60 min|9:30-11:00|11:00-16:00|Not by 16:00|")&lt;FIND("|"&amp;R306&amp;"|","|1-5 min|5-15 min|15-60 min|9:30-11:00|11:00-16:00|Not by 16:00|"),IF(E306="Up","High first (main side)",IF(E306="Down","High first (wick side)","High first")),IF(E306="Down","Low first (main side)",IF(E306="Up","Low first (wick side)","Low first"))))),"Check entries"))</f>
        <v/>
      </c>
      <c r="X306" s="28" t="n"/>
      <c r="Y306" s="27" t="n"/>
      <c r="Z306" s="27" t="n"/>
      <c r="AA306" s="27" t="n"/>
      <c r="AB306" s="27" t="n"/>
      <c r="AC306" s="27" t="n"/>
      <c r="AD306" s="27" t="n"/>
      <c r="AE306" s="28" t="n"/>
      <c r="AF306" s="30" t="n"/>
      <c r="AG306" s="27" t="n"/>
    </row>
    <row r="307">
      <c r="A307" s="25" t="n"/>
      <c r="B307" s="26">
        <f>IF(ISNUMBER(A307),TEXT(A307,"ddd"),"")</f>
        <v/>
      </c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8" t="n"/>
      <c r="M307" s="26">
        <f>IF(OR(L307="",AND(E307&lt;&gt;"Up",E307&lt;&gt;"Down")),"",IF(OR(L307="In line",L307="Mixed"),"Neutral data",IF(OR(AND(L307="Hotter",E307="Down"),AND(L307="Cooler",E307="Up")),"With data","Against data")))</f>
        <v/>
      </c>
      <c r="N307" s="28" t="n"/>
      <c r="O307" s="27" t="n"/>
      <c r="P307" s="27" t="n"/>
      <c r="Q307" s="28" t="n"/>
      <c r="R307" s="27" t="n"/>
      <c r="S307" s="29" t="n"/>
      <c r="T307" s="27" t="n"/>
      <c r="U307" s="27" t="n"/>
      <c r="V307" s="26">
        <f>IF(OR(AND(E307&lt;&gt;"Up",E307&lt;&gt;"Down"),NOT(ISNUMBER(S307)),IF(E307="Up",Q307,R307)=""),"",IF(S307&gt;=100,"Back to open",IF(OR(IF(E307="Up",Q307,R307)="1-5 min",IF(E307="Up",Q307,R307)="5-15 min"),"Continued",IF(S307&gt;=50,"Partial retrace","Stalled / chop"))))</f>
        <v/>
      </c>
      <c r="W307" s="26">
        <f>IF(OR(Q307="",R307=""),"",IFERROR(IF(AND(Q307="Not by 16:00",R307="Not by 16:00"),"Neither taken",IF(FIND("|"&amp;Q307&amp;"|","|1-5 min|5-15 min|15-60 min|9:30-11:00|11:00-16:00|Not by 16:00|")=FIND("|"&amp;R307&amp;"|","|1-5 min|5-15 min|15-60 min|9:30-11:00|11:00-16:00|Not by 16:00|"),"Same window",IF(FIND("|"&amp;Q307&amp;"|","|1-5 min|5-15 min|15-60 min|9:30-11:00|11:00-16:00|Not by 16:00|")&lt;FIND("|"&amp;R307&amp;"|","|1-5 min|5-15 min|15-60 min|9:30-11:00|11:00-16:00|Not by 16:00|"),IF(E307="Up","High first (main side)",IF(E307="Down","High first (wick side)","High first")),IF(E307="Down","Low first (main side)",IF(E307="Up","Low first (wick side)","Low first"))))),"Check entries"))</f>
        <v/>
      </c>
      <c r="X307" s="28" t="n"/>
      <c r="Y307" s="27" t="n"/>
      <c r="Z307" s="27" t="n"/>
      <c r="AA307" s="27" t="n"/>
      <c r="AB307" s="27" t="n"/>
      <c r="AC307" s="27" t="n"/>
      <c r="AD307" s="27" t="n"/>
      <c r="AE307" s="28" t="n"/>
      <c r="AF307" s="30" t="n"/>
      <c r="AG307" s="27" t="n"/>
    </row>
    <row r="308">
      <c r="A308" s="25" t="n"/>
      <c r="B308" s="26">
        <f>IF(ISNUMBER(A308),TEXT(A308,"ddd"),"")</f>
        <v/>
      </c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8" t="n"/>
      <c r="M308" s="26">
        <f>IF(OR(L308="",AND(E308&lt;&gt;"Up",E308&lt;&gt;"Down")),"",IF(OR(L308="In line",L308="Mixed"),"Neutral data",IF(OR(AND(L308="Hotter",E308="Down"),AND(L308="Cooler",E308="Up")),"With data","Against data")))</f>
        <v/>
      </c>
      <c r="N308" s="28" t="n"/>
      <c r="O308" s="27" t="n"/>
      <c r="P308" s="27" t="n"/>
      <c r="Q308" s="28" t="n"/>
      <c r="R308" s="27" t="n"/>
      <c r="S308" s="29" t="n"/>
      <c r="T308" s="27" t="n"/>
      <c r="U308" s="27" t="n"/>
      <c r="V308" s="26">
        <f>IF(OR(AND(E308&lt;&gt;"Up",E308&lt;&gt;"Down"),NOT(ISNUMBER(S308)),IF(E308="Up",Q308,R308)=""),"",IF(S308&gt;=100,"Back to open",IF(OR(IF(E308="Up",Q308,R308)="1-5 min",IF(E308="Up",Q308,R308)="5-15 min"),"Continued",IF(S308&gt;=50,"Partial retrace","Stalled / chop"))))</f>
        <v/>
      </c>
      <c r="W308" s="26">
        <f>IF(OR(Q308="",R308=""),"",IFERROR(IF(AND(Q308="Not by 16:00",R308="Not by 16:00"),"Neither taken",IF(FIND("|"&amp;Q308&amp;"|","|1-5 min|5-15 min|15-60 min|9:30-11:00|11:00-16:00|Not by 16:00|")=FIND("|"&amp;R308&amp;"|","|1-5 min|5-15 min|15-60 min|9:30-11:00|11:00-16:00|Not by 16:00|"),"Same window",IF(FIND("|"&amp;Q308&amp;"|","|1-5 min|5-15 min|15-60 min|9:30-11:00|11:00-16:00|Not by 16:00|")&lt;FIND("|"&amp;R308&amp;"|","|1-5 min|5-15 min|15-60 min|9:30-11:00|11:00-16:00|Not by 16:00|"),IF(E308="Up","High first (main side)",IF(E308="Down","High first (wick side)","High first")),IF(E308="Down","Low first (main side)",IF(E308="Up","Low first (wick side)","Low first"))))),"Check entries"))</f>
        <v/>
      </c>
      <c r="X308" s="28" t="n"/>
      <c r="Y308" s="27" t="n"/>
      <c r="Z308" s="27" t="n"/>
      <c r="AA308" s="27" t="n"/>
      <c r="AB308" s="27" t="n"/>
      <c r="AC308" s="27" t="n"/>
      <c r="AD308" s="27" t="n"/>
      <c r="AE308" s="28" t="n"/>
      <c r="AF308" s="30" t="n"/>
      <c r="AG308" s="27" t="n"/>
    </row>
    <row r="309">
      <c r="A309" s="25" t="n"/>
      <c r="B309" s="26">
        <f>IF(ISNUMBER(A309),TEXT(A309,"ddd"),"")</f>
        <v/>
      </c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8" t="n"/>
      <c r="M309" s="26">
        <f>IF(OR(L309="",AND(E309&lt;&gt;"Up",E309&lt;&gt;"Down")),"",IF(OR(L309="In line",L309="Mixed"),"Neutral data",IF(OR(AND(L309="Hotter",E309="Down"),AND(L309="Cooler",E309="Up")),"With data","Against data")))</f>
        <v/>
      </c>
      <c r="N309" s="28" t="n"/>
      <c r="O309" s="27" t="n"/>
      <c r="P309" s="27" t="n"/>
      <c r="Q309" s="28" t="n"/>
      <c r="R309" s="27" t="n"/>
      <c r="S309" s="29" t="n"/>
      <c r="T309" s="27" t="n"/>
      <c r="U309" s="27" t="n"/>
      <c r="V309" s="26">
        <f>IF(OR(AND(E309&lt;&gt;"Up",E309&lt;&gt;"Down"),NOT(ISNUMBER(S309)),IF(E309="Up",Q309,R309)=""),"",IF(S309&gt;=100,"Back to open",IF(OR(IF(E309="Up",Q309,R309)="1-5 min",IF(E309="Up",Q309,R309)="5-15 min"),"Continued",IF(S309&gt;=50,"Partial retrace","Stalled / chop"))))</f>
        <v/>
      </c>
      <c r="W309" s="26">
        <f>IF(OR(Q309="",R309=""),"",IFERROR(IF(AND(Q309="Not by 16:00",R309="Not by 16:00"),"Neither taken",IF(FIND("|"&amp;Q309&amp;"|","|1-5 min|5-15 min|15-60 min|9:30-11:00|11:00-16:00|Not by 16:00|")=FIND("|"&amp;R309&amp;"|","|1-5 min|5-15 min|15-60 min|9:30-11:00|11:00-16:00|Not by 16:00|"),"Same window",IF(FIND("|"&amp;Q309&amp;"|","|1-5 min|5-15 min|15-60 min|9:30-11:00|11:00-16:00|Not by 16:00|")&lt;FIND("|"&amp;R309&amp;"|","|1-5 min|5-15 min|15-60 min|9:30-11:00|11:00-16:00|Not by 16:00|"),IF(E309="Up","High first (main side)",IF(E309="Down","High first (wick side)","High first")),IF(E309="Down","Low first (main side)",IF(E309="Up","Low first (wick side)","Low first"))))),"Check entries"))</f>
        <v/>
      </c>
      <c r="X309" s="28" t="n"/>
      <c r="Y309" s="27" t="n"/>
      <c r="Z309" s="27" t="n"/>
      <c r="AA309" s="27" t="n"/>
      <c r="AB309" s="27" t="n"/>
      <c r="AC309" s="27" t="n"/>
      <c r="AD309" s="27" t="n"/>
      <c r="AE309" s="28" t="n"/>
      <c r="AF309" s="30" t="n"/>
      <c r="AG309" s="27" t="n"/>
    </row>
    <row r="310">
      <c r="A310" s="25" t="n"/>
      <c r="B310" s="26">
        <f>IF(ISNUMBER(A310),TEXT(A310,"ddd"),"")</f>
        <v/>
      </c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8" t="n"/>
      <c r="M310" s="26">
        <f>IF(OR(L310="",AND(E310&lt;&gt;"Up",E310&lt;&gt;"Down")),"",IF(OR(L310="In line",L310="Mixed"),"Neutral data",IF(OR(AND(L310="Hotter",E310="Down"),AND(L310="Cooler",E310="Up")),"With data","Against data")))</f>
        <v/>
      </c>
      <c r="N310" s="28" t="n"/>
      <c r="O310" s="27" t="n"/>
      <c r="P310" s="27" t="n"/>
      <c r="Q310" s="28" t="n"/>
      <c r="R310" s="27" t="n"/>
      <c r="S310" s="29" t="n"/>
      <c r="T310" s="27" t="n"/>
      <c r="U310" s="27" t="n"/>
      <c r="V310" s="26">
        <f>IF(OR(AND(E310&lt;&gt;"Up",E310&lt;&gt;"Down"),NOT(ISNUMBER(S310)),IF(E310="Up",Q310,R310)=""),"",IF(S310&gt;=100,"Back to open",IF(OR(IF(E310="Up",Q310,R310)="1-5 min",IF(E310="Up",Q310,R310)="5-15 min"),"Continued",IF(S310&gt;=50,"Partial retrace","Stalled / chop"))))</f>
        <v/>
      </c>
      <c r="W310" s="26">
        <f>IF(OR(Q310="",R310=""),"",IFERROR(IF(AND(Q310="Not by 16:00",R310="Not by 16:00"),"Neither taken",IF(FIND("|"&amp;Q310&amp;"|","|1-5 min|5-15 min|15-60 min|9:30-11:00|11:00-16:00|Not by 16:00|")=FIND("|"&amp;R310&amp;"|","|1-5 min|5-15 min|15-60 min|9:30-11:00|11:00-16:00|Not by 16:00|"),"Same window",IF(FIND("|"&amp;Q310&amp;"|","|1-5 min|5-15 min|15-60 min|9:30-11:00|11:00-16:00|Not by 16:00|")&lt;FIND("|"&amp;R310&amp;"|","|1-5 min|5-15 min|15-60 min|9:30-11:00|11:00-16:00|Not by 16:00|"),IF(E310="Up","High first (main side)",IF(E310="Down","High first (wick side)","High first")),IF(E310="Down","Low first (main side)",IF(E310="Up","Low first (wick side)","Low first"))))),"Check entries"))</f>
        <v/>
      </c>
      <c r="X310" s="28" t="n"/>
      <c r="Y310" s="27" t="n"/>
      <c r="Z310" s="27" t="n"/>
      <c r="AA310" s="27" t="n"/>
      <c r="AB310" s="27" t="n"/>
      <c r="AC310" s="27" t="n"/>
      <c r="AD310" s="27" t="n"/>
      <c r="AE310" s="28" t="n"/>
      <c r="AF310" s="30" t="n"/>
      <c r="AG310" s="27" t="n"/>
    </row>
    <row r="311">
      <c r="A311" s="25" t="n"/>
      <c r="B311" s="26">
        <f>IF(ISNUMBER(A311),TEXT(A311,"ddd"),"")</f>
        <v/>
      </c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8" t="n"/>
      <c r="M311" s="26">
        <f>IF(OR(L311="",AND(E311&lt;&gt;"Up",E311&lt;&gt;"Down")),"",IF(OR(L311="In line",L311="Mixed"),"Neutral data",IF(OR(AND(L311="Hotter",E311="Down"),AND(L311="Cooler",E311="Up")),"With data","Against data")))</f>
        <v/>
      </c>
      <c r="N311" s="28" t="n"/>
      <c r="O311" s="27" t="n"/>
      <c r="P311" s="27" t="n"/>
      <c r="Q311" s="28" t="n"/>
      <c r="R311" s="27" t="n"/>
      <c r="S311" s="29" t="n"/>
      <c r="T311" s="27" t="n"/>
      <c r="U311" s="27" t="n"/>
      <c r="V311" s="26">
        <f>IF(OR(AND(E311&lt;&gt;"Up",E311&lt;&gt;"Down"),NOT(ISNUMBER(S311)),IF(E311="Up",Q311,R311)=""),"",IF(S311&gt;=100,"Back to open",IF(OR(IF(E311="Up",Q311,R311)="1-5 min",IF(E311="Up",Q311,R311)="5-15 min"),"Continued",IF(S311&gt;=50,"Partial retrace","Stalled / chop"))))</f>
        <v/>
      </c>
      <c r="W311" s="26">
        <f>IF(OR(Q311="",R311=""),"",IFERROR(IF(AND(Q311="Not by 16:00",R311="Not by 16:00"),"Neither taken",IF(FIND("|"&amp;Q311&amp;"|","|1-5 min|5-15 min|15-60 min|9:30-11:00|11:00-16:00|Not by 16:00|")=FIND("|"&amp;R311&amp;"|","|1-5 min|5-15 min|15-60 min|9:30-11:00|11:00-16:00|Not by 16:00|"),"Same window",IF(FIND("|"&amp;Q311&amp;"|","|1-5 min|5-15 min|15-60 min|9:30-11:00|11:00-16:00|Not by 16:00|")&lt;FIND("|"&amp;R311&amp;"|","|1-5 min|5-15 min|15-60 min|9:30-11:00|11:00-16:00|Not by 16:00|"),IF(E311="Up","High first (main side)",IF(E311="Down","High first (wick side)","High first")),IF(E311="Down","Low first (main side)",IF(E311="Up","Low first (wick side)","Low first"))))),"Check entries"))</f>
        <v/>
      </c>
      <c r="X311" s="28" t="n"/>
      <c r="Y311" s="27" t="n"/>
      <c r="Z311" s="27" t="n"/>
      <c r="AA311" s="27" t="n"/>
      <c r="AB311" s="27" t="n"/>
      <c r="AC311" s="27" t="n"/>
      <c r="AD311" s="27" t="n"/>
      <c r="AE311" s="28" t="n"/>
      <c r="AF311" s="30" t="n"/>
      <c r="AG311" s="27" t="n"/>
    </row>
    <row r="312">
      <c r="A312" s="25" t="n"/>
      <c r="B312" s="26">
        <f>IF(ISNUMBER(A312),TEXT(A312,"ddd"),"")</f>
        <v/>
      </c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8" t="n"/>
      <c r="M312" s="26">
        <f>IF(OR(L312="",AND(E312&lt;&gt;"Up",E312&lt;&gt;"Down")),"",IF(OR(L312="In line",L312="Mixed"),"Neutral data",IF(OR(AND(L312="Hotter",E312="Down"),AND(L312="Cooler",E312="Up")),"With data","Against data")))</f>
        <v/>
      </c>
      <c r="N312" s="28" t="n"/>
      <c r="O312" s="27" t="n"/>
      <c r="P312" s="27" t="n"/>
      <c r="Q312" s="28" t="n"/>
      <c r="R312" s="27" t="n"/>
      <c r="S312" s="29" t="n"/>
      <c r="T312" s="27" t="n"/>
      <c r="U312" s="27" t="n"/>
      <c r="V312" s="26">
        <f>IF(OR(AND(E312&lt;&gt;"Up",E312&lt;&gt;"Down"),NOT(ISNUMBER(S312)),IF(E312="Up",Q312,R312)=""),"",IF(S312&gt;=100,"Back to open",IF(OR(IF(E312="Up",Q312,R312)="1-5 min",IF(E312="Up",Q312,R312)="5-15 min"),"Continued",IF(S312&gt;=50,"Partial retrace","Stalled / chop"))))</f>
        <v/>
      </c>
      <c r="W312" s="26">
        <f>IF(OR(Q312="",R312=""),"",IFERROR(IF(AND(Q312="Not by 16:00",R312="Not by 16:00"),"Neither taken",IF(FIND("|"&amp;Q312&amp;"|","|1-5 min|5-15 min|15-60 min|9:30-11:00|11:00-16:00|Not by 16:00|")=FIND("|"&amp;R312&amp;"|","|1-5 min|5-15 min|15-60 min|9:30-11:00|11:00-16:00|Not by 16:00|"),"Same window",IF(FIND("|"&amp;Q312&amp;"|","|1-5 min|5-15 min|15-60 min|9:30-11:00|11:00-16:00|Not by 16:00|")&lt;FIND("|"&amp;R312&amp;"|","|1-5 min|5-15 min|15-60 min|9:30-11:00|11:00-16:00|Not by 16:00|"),IF(E312="Up","High first (main side)",IF(E312="Down","High first (wick side)","High first")),IF(E312="Down","Low first (main side)",IF(E312="Up","Low first (wick side)","Low first"))))),"Check entries"))</f>
        <v/>
      </c>
      <c r="X312" s="28" t="n"/>
      <c r="Y312" s="27" t="n"/>
      <c r="Z312" s="27" t="n"/>
      <c r="AA312" s="27" t="n"/>
      <c r="AB312" s="27" t="n"/>
      <c r="AC312" s="27" t="n"/>
      <c r="AD312" s="27" t="n"/>
      <c r="AE312" s="28" t="n"/>
      <c r="AF312" s="30" t="n"/>
      <c r="AG312" s="27" t="n"/>
    </row>
    <row r="313">
      <c r="A313" s="25" t="n"/>
      <c r="B313" s="26">
        <f>IF(ISNUMBER(A313),TEXT(A313,"ddd"),"")</f>
        <v/>
      </c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8" t="n"/>
      <c r="M313" s="26">
        <f>IF(OR(L313="",AND(E313&lt;&gt;"Up",E313&lt;&gt;"Down")),"",IF(OR(L313="In line",L313="Mixed"),"Neutral data",IF(OR(AND(L313="Hotter",E313="Down"),AND(L313="Cooler",E313="Up")),"With data","Against data")))</f>
        <v/>
      </c>
      <c r="N313" s="28" t="n"/>
      <c r="O313" s="27" t="n"/>
      <c r="P313" s="27" t="n"/>
      <c r="Q313" s="28" t="n"/>
      <c r="R313" s="27" t="n"/>
      <c r="S313" s="29" t="n"/>
      <c r="T313" s="27" t="n"/>
      <c r="U313" s="27" t="n"/>
      <c r="V313" s="26">
        <f>IF(OR(AND(E313&lt;&gt;"Up",E313&lt;&gt;"Down"),NOT(ISNUMBER(S313)),IF(E313="Up",Q313,R313)=""),"",IF(S313&gt;=100,"Back to open",IF(OR(IF(E313="Up",Q313,R313)="1-5 min",IF(E313="Up",Q313,R313)="5-15 min"),"Continued",IF(S313&gt;=50,"Partial retrace","Stalled / chop"))))</f>
        <v/>
      </c>
      <c r="W313" s="26">
        <f>IF(OR(Q313="",R313=""),"",IFERROR(IF(AND(Q313="Not by 16:00",R313="Not by 16:00"),"Neither taken",IF(FIND("|"&amp;Q313&amp;"|","|1-5 min|5-15 min|15-60 min|9:30-11:00|11:00-16:00|Not by 16:00|")=FIND("|"&amp;R313&amp;"|","|1-5 min|5-15 min|15-60 min|9:30-11:00|11:00-16:00|Not by 16:00|"),"Same window",IF(FIND("|"&amp;Q313&amp;"|","|1-5 min|5-15 min|15-60 min|9:30-11:00|11:00-16:00|Not by 16:00|")&lt;FIND("|"&amp;R313&amp;"|","|1-5 min|5-15 min|15-60 min|9:30-11:00|11:00-16:00|Not by 16:00|"),IF(E313="Up","High first (main side)",IF(E313="Down","High first (wick side)","High first")),IF(E313="Down","Low first (main side)",IF(E313="Up","Low first (wick side)","Low first"))))),"Check entries"))</f>
        <v/>
      </c>
      <c r="X313" s="28" t="n"/>
      <c r="Y313" s="27" t="n"/>
      <c r="Z313" s="27" t="n"/>
      <c r="AA313" s="27" t="n"/>
      <c r="AB313" s="27" t="n"/>
      <c r="AC313" s="27" t="n"/>
      <c r="AD313" s="27" t="n"/>
      <c r="AE313" s="28" t="n"/>
      <c r="AF313" s="30" t="n"/>
      <c r="AG313" s="27" t="n"/>
    </row>
    <row r="314">
      <c r="A314" s="25" t="n"/>
      <c r="B314" s="26">
        <f>IF(ISNUMBER(A314),TEXT(A314,"ddd"),"")</f>
        <v/>
      </c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8" t="n"/>
      <c r="M314" s="26">
        <f>IF(OR(L314="",AND(E314&lt;&gt;"Up",E314&lt;&gt;"Down")),"",IF(OR(L314="In line",L314="Mixed"),"Neutral data",IF(OR(AND(L314="Hotter",E314="Down"),AND(L314="Cooler",E314="Up")),"With data","Against data")))</f>
        <v/>
      </c>
      <c r="N314" s="28" t="n"/>
      <c r="O314" s="27" t="n"/>
      <c r="P314" s="27" t="n"/>
      <c r="Q314" s="28" t="n"/>
      <c r="R314" s="27" t="n"/>
      <c r="S314" s="29" t="n"/>
      <c r="T314" s="27" t="n"/>
      <c r="U314" s="27" t="n"/>
      <c r="V314" s="26">
        <f>IF(OR(AND(E314&lt;&gt;"Up",E314&lt;&gt;"Down"),NOT(ISNUMBER(S314)),IF(E314="Up",Q314,R314)=""),"",IF(S314&gt;=100,"Back to open",IF(OR(IF(E314="Up",Q314,R314)="1-5 min",IF(E314="Up",Q314,R314)="5-15 min"),"Continued",IF(S314&gt;=50,"Partial retrace","Stalled / chop"))))</f>
        <v/>
      </c>
      <c r="W314" s="26">
        <f>IF(OR(Q314="",R314=""),"",IFERROR(IF(AND(Q314="Not by 16:00",R314="Not by 16:00"),"Neither taken",IF(FIND("|"&amp;Q314&amp;"|","|1-5 min|5-15 min|15-60 min|9:30-11:00|11:00-16:00|Not by 16:00|")=FIND("|"&amp;R314&amp;"|","|1-5 min|5-15 min|15-60 min|9:30-11:00|11:00-16:00|Not by 16:00|"),"Same window",IF(FIND("|"&amp;Q314&amp;"|","|1-5 min|5-15 min|15-60 min|9:30-11:00|11:00-16:00|Not by 16:00|")&lt;FIND("|"&amp;R314&amp;"|","|1-5 min|5-15 min|15-60 min|9:30-11:00|11:00-16:00|Not by 16:00|"),IF(E314="Up","High first (main side)",IF(E314="Down","High first (wick side)","High first")),IF(E314="Down","Low first (main side)",IF(E314="Up","Low first (wick side)","Low first"))))),"Check entries"))</f>
        <v/>
      </c>
      <c r="X314" s="28" t="n"/>
      <c r="Y314" s="27" t="n"/>
      <c r="Z314" s="27" t="n"/>
      <c r="AA314" s="27" t="n"/>
      <c r="AB314" s="27" t="n"/>
      <c r="AC314" s="27" t="n"/>
      <c r="AD314" s="27" t="n"/>
      <c r="AE314" s="28" t="n"/>
      <c r="AF314" s="30" t="n"/>
      <c r="AG314" s="27" t="n"/>
    </row>
    <row r="315">
      <c r="A315" s="25" t="n"/>
      <c r="B315" s="26">
        <f>IF(ISNUMBER(A315),TEXT(A315,"ddd"),"")</f>
        <v/>
      </c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8" t="n"/>
      <c r="M315" s="26">
        <f>IF(OR(L315="",AND(E315&lt;&gt;"Up",E315&lt;&gt;"Down")),"",IF(OR(L315="In line",L315="Mixed"),"Neutral data",IF(OR(AND(L315="Hotter",E315="Down"),AND(L315="Cooler",E315="Up")),"With data","Against data")))</f>
        <v/>
      </c>
      <c r="N315" s="28" t="n"/>
      <c r="O315" s="27" t="n"/>
      <c r="P315" s="27" t="n"/>
      <c r="Q315" s="28" t="n"/>
      <c r="R315" s="27" t="n"/>
      <c r="S315" s="29" t="n"/>
      <c r="T315" s="27" t="n"/>
      <c r="U315" s="27" t="n"/>
      <c r="V315" s="26">
        <f>IF(OR(AND(E315&lt;&gt;"Up",E315&lt;&gt;"Down"),NOT(ISNUMBER(S315)),IF(E315="Up",Q315,R315)=""),"",IF(S315&gt;=100,"Back to open",IF(OR(IF(E315="Up",Q315,R315)="1-5 min",IF(E315="Up",Q315,R315)="5-15 min"),"Continued",IF(S315&gt;=50,"Partial retrace","Stalled / chop"))))</f>
        <v/>
      </c>
      <c r="W315" s="26">
        <f>IF(OR(Q315="",R315=""),"",IFERROR(IF(AND(Q315="Not by 16:00",R315="Not by 16:00"),"Neither taken",IF(FIND("|"&amp;Q315&amp;"|","|1-5 min|5-15 min|15-60 min|9:30-11:00|11:00-16:00|Not by 16:00|")=FIND("|"&amp;R315&amp;"|","|1-5 min|5-15 min|15-60 min|9:30-11:00|11:00-16:00|Not by 16:00|"),"Same window",IF(FIND("|"&amp;Q315&amp;"|","|1-5 min|5-15 min|15-60 min|9:30-11:00|11:00-16:00|Not by 16:00|")&lt;FIND("|"&amp;R315&amp;"|","|1-5 min|5-15 min|15-60 min|9:30-11:00|11:00-16:00|Not by 16:00|"),IF(E315="Up","High first (main side)",IF(E315="Down","High first (wick side)","High first")),IF(E315="Down","Low first (main side)",IF(E315="Up","Low first (wick side)","Low first"))))),"Check entries"))</f>
        <v/>
      </c>
      <c r="X315" s="28" t="n"/>
      <c r="Y315" s="27" t="n"/>
      <c r="Z315" s="27" t="n"/>
      <c r="AA315" s="27" t="n"/>
      <c r="AB315" s="27" t="n"/>
      <c r="AC315" s="27" t="n"/>
      <c r="AD315" s="27" t="n"/>
      <c r="AE315" s="28" t="n"/>
      <c r="AF315" s="30" t="n"/>
      <c r="AG315" s="27" t="n"/>
    </row>
    <row r="316">
      <c r="A316" s="25" t="n"/>
      <c r="B316" s="26">
        <f>IF(ISNUMBER(A316),TEXT(A316,"ddd"),"")</f>
        <v/>
      </c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8" t="n"/>
      <c r="M316" s="26">
        <f>IF(OR(L316="",AND(E316&lt;&gt;"Up",E316&lt;&gt;"Down")),"",IF(OR(L316="In line",L316="Mixed"),"Neutral data",IF(OR(AND(L316="Hotter",E316="Down"),AND(L316="Cooler",E316="Up")),"With data","Against data")))</f>
        <v/>
      </c>
      <c r="N316" s="28" t="n"/>
      <c r="O316" s="27" t="n"/>
      <c r="P316" s="27" t="n"/>
      <c r="Q316" s="28" t="n"/>
      <c r="R316" s="27" t="n"/>
      <c r="S316" s="29" t="n"/>
      <c r="T316" s="27" t="n"/>
      <c r="U316" s="27" t="n"/>
      <c r="V316" s="26">
        <f>IF(OR(AND(E316&lt;&gt;"Up",E316&lt;&gt;"Down"),NOT(ISNUMBER(S316)),IF(E316="Up",Q316,R316)=""),"",IF(S316&gt;=100,"Back to open",IF(OR(IF(E316="Up",Q316,R316)="1-5 min",IF(E316="Up",Q316,R316)="5-15 min"),"Continued",IF(S316&gt;=50,"Partial retrace","Stalled / chop"))))</f>
        <v/>
      </c>
      <c r="W316" s="26">
        <f>IF(OR(Q316="",R316=""),"",IFERROR(IF(AND(Q316="Not by 16:00",R316="Not by 16:00"),"Neither taken",IF(FIND("|"&amp;Q316&amp;"|","|1-5 min|5-15 min|15-60 min|9:30-11:00|11:00-16:00|Not by 16:00|")=FIND("|"&amp;R316&amp;"|","|1-5 min|5-15 min|15-60 min|9:30-11:00|11:00-16:00|Not by 16:00|"),"Same window",IF(FIND("|"&amp;Q316&amp;"|","|1-5 min|5-15 min|15-60 min|9:30-11:00|11:00-16:00|Not by 16:00|")&lt;FIND("|"&amp;R316&amp;"|","|1-5 min|5-15 min|15-60 min|9:30-11:00|11:00-16:00|Not by 16:00|"),IF(E316="Up","High first (main side)",IF(E316="Down","High first (wick side)","High first")),IF(E316="Down","Low first (main side)",IF(E316="Up","Low first (wick side)","Low first"))))),"Check entries"))</f>
        <v/>
      </c>
      <c r="X316" s="28" t="n"/>
      <c r="Y316" s="27" t="n"/>
      <c r="Z316" s="27" t="n"/>
      <c r="AA316" s="27" t="n"/>
      <c r="AB316" s="27" t="n"/>
      <c r="AC316" s="27" t="n"/>
      <c r="AD316" s="27" t="n"/>
      <c r="AE316" s="28" t="n"/>
      <c r="AF316" s="30" t="n"/>
      <c r="AG316" s="27" t="n"/>
    </row>
    <row r="317">
      <c r="A317" s="25" t="n"/>
      <c r="B317" s="26">
        <f>IF(ISNUMBER(A317),TEXT(A317,"ddd"),"")</f>
        <v/>
      </c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8" t="n"/>
      <c r="M317" s="26">
        <f>IF(OR(L317="",AND(E317&lt;&gt;"Up",E317&lt;&gt;"Down")),"",IF(OR(L317="In line",L317="Mixed"),"Neutral data",IF(OR(AND(L317="Hotter",E317="Down"),AND(L317="Cooler",E317="Up")),"With data","Against data")))</f>
        <v/>
      </c>
      <c r="N317" s="28" t="n"/>
      <c r="O317" s="27" t="n"/>
      <c r="P317" s="27" t="n"/>
      <c r="Q317" s="28" t="n"/>
      <c r="R317" s="27" t="n"/>
      <c r="S317" s="29" t="n"/>
      <c r="T317" s="27" t="n"/>
      <c r="U317" s="27" t="n"/>
      <c r="V317" s="26">
        <f>IF(OR(AND(E317&lt;&gt;"Up",E317&lt;&gt;"Down"),NOT(ISNUMBER(S317)),IF(E317="Up",Q317,R317)=""),"",IF(S317&gt;=100,"Back to open",IF(OR(IF(E317="Up",Q317,R317)="1-5 min",IF(E317="Up",Q317,R317)="5-15 min"),"Continued",IF(S317&gt;=50,"Partial retrace","Stalled / chop"))))</f>
        <v/>
      </c>
      <c r="W317" s="26">
        <f>IF(OR(Q317="",R317=""),"",IFERROR(IF(AND(Q317="Not by 16:00",R317="Not by 16:00"),"Neither taken",IF(FIND("|"&amp;Q317&amp;"|","|1-5 min|5-15 min|15-60 min|9:30-11:00|11:00-16:00|Not by 16:00|")=FIND("|"&amp;R317&amp;"|","|1-5 min|5-15 min|15-60 min|9:30-11:00|11:00-16:00|Not by 16:00|"),"Same window",IF(FIND("|"&amp;Q317&amp;"|","|1-5 min|5-15 min|15-60 min|9:30-11:00|11:00-16:00|Not by 16:00|")&lt;FIND("|"&amp;R317&amp;"|","|1-5 min|5-15 min|15-60 min|9:30-11:00|11:00-16:00|Not by 16:00|"),IF(E317="Up","High first (main side)",IF(E317="Down","High first (wick side)","High first")),IF(E317="Down","Low first (main side)",IF(E317="Up","Low first (wick side)","Low first"))))),"Check entries"))</f>
        <v/>
      </c>
      <c r="X317" s="28" t="n"/>
      <c r="Y317" s="27" t="n"/>
      <c r="Z317" s="27" t="n"/>
      <c r="AA317" s="27" t="n"/>
      <c r="AB317" s="27" t="n"/>
      <c r="AC317" s="27" t="n"/>
      <c r="AD317" s="27" t="n"/>
      <c r="AE317" s="28" t="n"/>
      <c r="AF317" s="30" t="n"/>
      <c r="AG317" s="27" t="n"/>
    </row>
    <row r="318">
      <c r="A318" s="25" t="n"/>
      <c r="B318" s="26">
        <f>IF(ISNUMBER(A318),TEXT(A318,"ddd"),"")</f>
        <v/>
      </c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8" t="n"/>
      <c r="M318" s="26">
        <f>IF(OR(L318="",AND(E318&lt;&gt;"Up",E318&lt;&gt;"Down")),"",IF(OR(L318="In line",L318="Mixed"),"Neutral data",IF(OR(AND(L318="Hotter",E318="Down"),AND(L318="Cooler",E318="Up")),"With data","Against data")))</f>
        <v/>
      </c>
      <c r="N318" s="28" t="n"/>
      <c r="O318" s="27" t="n"/>
      <c r="P318" s="27" t="n"/>
      <c r="Q318" s="28" t="n"/>
      <c r="R318" s="27" t="n"/>
      <c r="S318" s="29" t="n"/>
      <c r="T318" s="27" t="n"/>
      <c r="U318" s="27" t="n"/>
      <c r="V318" s="26">
        <f>IF(OR(AND(E318&lt;&gt;"Up",E318&lt;&gt;"Down"),NOT(ISNUMBER(S318)),IF(E318="Up",Q318,R318)=""),"",IF(S318&gt;=100,"Back to open",IF(OR(IF(E318="Up",Q318,R318)="1-5 min",IF(E318="Up",Q318,R318)="5-15 min"),"Continued",IF(S318&gt;=50,"Partial retrace","Stalled / chop"))))</f>
        <v/>
      </c>
      <c r="W318" s="26">
        <f>IF(OR(Q318="",R318=""),"",IFERROR(IF(AND(Q318="Not by 16:00",R318="Not by 16:00"),"Neither taken",IF(FIND("|"&amp;Q318&amp;"|","|1-5 min|5-15 min|15-60 min|9:30-11:00|11:00-16:00|Not by 16:00|")=FIND("|"&amp;R318&amp;"|","|1-5 min|5-15 min|15-60 min|9:30-11:00|11:00-16:00|Not by 16:00|"),"Same window",IF(FIND("|"&amp;Q318&amp;"|","|1-5 min|5-15 min|15-60 min|9:30-11:00|11:00-16:00|Not by 16:00|")&lt;FIND("|"&amp;R318&amp;"|","|1-5 min|5-15 min|15-60 min|9:30-11:00|11:00-16:00|Not by 16:00|"),IF(E318="Up","High first (main side)",IF(E318="Down","High first (wick side)","High first")),IF(E318="Down","Low first (main side)",IF(E318="Up","Low first (wick side)","Low first"))))),"Check entries"))</f>
        <v/>
      </c>
      <c r="X318" s="28" t="n"/>
      <c r="Y318" s="27" t="n"/>
      <c r="Z318" s="27" t="n"/>
      <c r="AA318" s="27" t="n"/>
      <c r="AB318" s="27" t="n"/>
      <c r="AC318" s="27" t="n"/>
      <c r="AD318" s="27" t="n"/>
      <c r="AE318" s="28" t="n"/>
      <c r="AF318" s="30" t="n"/>
      <c r="AG318" s="27" t="n"/>
    </row>
    <row r="319">
      <c r="A319" s="25" t="n"/>
      <c r="B319" s="26">
        <f>IF(ISNUMBER(A319),TEXT(A319,"ddd"),"")</f>
        <v/>
      </c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8" t="n"/>
      <c r="M319" s="26">
        <f>IF(OR(L319="",AND(E319&lt;&gt;"Up",E319&lt;&gt;"Down")),"",IF(OR(L319="In line",L319="Mixed"),"Neutral data",IF(OR(AND(L319="Hotter",E319="Down"),AND(L319="Cooler",E319="Up")),"With data","Against data")))</f>
        <v/>
      </c>
      <c r="N319" s="28" t="n"/>
      <c r="O319" s="27" t="n"/>
      <c r="P319" s="27" t="n"/>
      <c r="Q319" s="28" t="n"/>
      <c r="R319" s="27" t="n"/>
      <c r="S319" s="29" t="n"/>
      <c r="T319" s="27" t="n"/>
      <c r="U319" s="27" t="n"/>
      <c r="V319" s="26">
        <f>IF(OR(AND(E319&lt;&gt;"Up",E319&lt;&gt;"Down"),NOT(ISNUMBER(S319)),IF(E319="Up",Q319,R319)=""),"",IF(S319&gt;=100,"Back to open",IF(OR(IF(E319="Up",Q319,R319)="1-5 min",IF(E319="Up",Q319,R319)="5-15 min"),"Continued",IF(S319&gt;=50,"Partial retrace","Stalled / chop"))))</f>
        <v/>
      </c>
      <c r="W319" s="26">
        <f>IF(OR(Q319="",R319=""),"",IFERROR(IF(AND(Q319="Not by 16:00",R319="Not by 16:00"),"Neither taken",IF(FIND("|"&amp;Q319&amp;"|","|1-5 min|5-15 min|15-60 min|9:30-11:00|11:00-16:00|Not by 16:00|")=FIND("|"&amp;R319&amp;"|","|1-5 min|5-15 min|15-60 min|9:30-11:00|11:00-16:00|Not by 16:00|"),"Same window",IF(FIND("|"&amp;Q319&amp;"|","|1-5 min|5-15 min|15-60 min|9:30-11:00|11:00-16:00|Not by 16:00|")&lt;FIND("|"&amp;R319&amp;"|","|1-5 min|5-15 min|15-60 min|9:30-11:00|11:00-16:00|Not by 16:00|"),IF(E319="Up","High first (main side)",IF(E319="Down","High first (wick side)","High first")),IF(E319="Down","Low first (main side)",IF(E319="Up","Low first (wick side)","Low first"))))),"Check entries"))</f>
        <v/>
      </c>
      <c r="X319" s="28" t="n"/>
      <c r="Y319" s="27" t="n"/>
      <c r="Z319" s="27" t="n"/>
      <c r="AA319" s="27" t="n"/>
      <c r="AB319" s="27" t="n"/>
      <c r="AC319" s="27" t="n"/>
      <c r="AD319" s="27" t="n"/>
      <c r="AE319" s="28" t="n"/>
      <c r="AF319" s="30" t="n"/>
      <c r="AG319" s="27" t="n"/>
    </row>
    <row r="320">
      <c r="A320" s="25" t="n"/>
      <c r="B320" s="26">
        <f>IF(ISNUMBER(A320),TEXT(A320,"ddd"),"")</f>
        <v/>
      </c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8" t="n"/>
      <c r="M320" s="26">
        <f>IF(OR(L320="",AND(E320&lt;&gt;"Up",E320&lt;&gt;"Down")),"",IF(OR(L320="In line",L320="Mixed"),"Neutral data",IF(OR(AND(L320="Hotter",E320="Down"),AND(L320="Cooler",E320="Up")),"With data","Against data")))</f>
        <v/>
      </c>
      <c r="N320" s="28" t="n"/>
      <c r="O320" s="27" t="n"/>
      <c r="P320" s="27" t="n"/>
      <c r="Q320" s="28" t="n"/>
      <c r="R320" s="27" t="n"/>
      <c r="S320" s="29" t="n"/>
      <c r="T320" s="27" t="n"/>
      <c r="U320" s="27" t="n"/>
      <c r="V320" s="26">
        <f>IF(OR(AND(E320&lt;&gt;"Up",E320&lt;&gt;"Down"),NOT(ISNUMBER(S320)),IF(E320="Up",Q320,R320)=""),"",IF(S320&gt;=100,"Back to open",IF(OR(IF(E320="Up",Q320,R320)="1-5 min",IF(E320="Up",Q320,R320)="5-15 min"),"Continued",IF(S320&gt;=50,"Partial retrace","Stalled / chop"))))</f>
        <v/>
      </c>
      <c r="W320" s="26">
        <f>IF(OR(Q320="",R320=""),"",IFERROR(IF(AND(Q320="Not by 16:00",R320="Not by 16:00"),"Neither taken",IF(FIND("|"&amp;Q320&amp;"|","|1-5 min|5-15 min|15-60 min|9:30-11:00|11:00-16:00|Not by 16:00|")=FIND("|"&amp;R320&amp;"|","|1-5 min|5-15 min|15-60 min|9:30-11:00|11:00-16:00|Not by 16:00|"),"Same window",IF(FIND("|"&amp;Q320&amp;"|","|1-5 min|5-15 min|15-60 min|9:30-11:00|11:00-16:00|Not by 16:00|")&lt;FIND("|"&amp;R320&amp;"|","|1-5 min|5-15 min|15-60 min|9:30-11:00|11:00-16:00|Not by 16:00|"),IF(E320="Up","High first (main side)",IF(E320="Down","High first (wick side)","High first")),IF(E320="Down","Low first (main side)",IF(E320="Up","Low first (wick side)","Low first"))))),"Check entries"))</f>
        <v/>
      </c>
      <c r="X320" s="28" t="n"/>
      <c r="Y320" s="27" t="n"/>
      <c r="Z320" s="27" t="n"/>
      <c r="AA320" s="27" t="n"/>
      <c r="AB320" s="27" t="n"/>
      <c r="AC320" s="27" t="n"/>
      <c r="AD320" s="27" t="n"/>
      <c r="AE320" s="28" t="n"/>
      <c r="AF320" s="30" t="n"/>
      <c r="AG320" s="27" t="n"/>
    </row>
    <row r="321">
      <c r="A321" s="25" t="n"/>
      <c r="B321" s="26">
        <f>IF(ISNUMBER(A321),TEXT(A321,"ddd"),"")</f>
        <v/>
      </c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8" t="n"/>
      <c r="M321" s="26">
        <f>IF(OR(L321="",AND(E321&lt;&gt;"Up",E321&lt;&gt;"Down")),"",IF(OR(L321="In line",L321="Mixed"),"Neutral data",IF(OR(AND(L321="Hotter",E321="Down"),AND(L321="Cooler",E321="Up")),"With data","Against data")))</f>
        <v/>
      </c>
      <c r="N321" s="28" t="n"/>
      <c r="O321" s="27" t="n"/>
      <c r="P321" s="27" t="n"/>
      <c r="Q321" s="28" t="n"/>
      <c r="R321" s="27" t="n"/>
      <c r="S321" s="29" t="n"/>
      <c r="T321" s="27" t="n"/>
      <c r="U321" s="27" t="n"/>
      <c r="V321" s="26">
        <f>IF(OR(AND(E321&lt;&gt;"Up",E321&lt;&gt;"Down"),NOT(ISNUMBER(S321)),IF(E321="Up",Q321,R321)=""),"",IF(S321&gt;=100,"Back to open",IF(OR(IF(E321="Up",Q321,R321)="1-5 min",IF(E321="Up",Q321,R321)="5-15 min"),"Continued",IF(S321&gt;=50,"Partial retrace","Stalled / chop"))))</f>
        <v/>
      </c>
      <c r="W321" s="26">
        <f>IF(OR(Q321="",R321=""),"",IFERROR(IF(AND(Q321="Not by 16:00",R321="Not by 16:00"),"Neither taken",IF(FIND("|"&amp;Q321&amp;"|","|1-5 min|5-15 min|15-60 min|9:30-11:00|11:00-16:00|Not by 16:00|")=FIND("|"&amp;R321&amp;"|","|1-5 min|5-15 min|15-60 min|9:30-11:00|11:00-16:00|Not by 16:00|"),"Same window",IF(FIND("|"&amp;Q321&amp;"|","|1-5 min|5-15 min|15-60 min|9:30-11:00|11:00-16:00|Not by 16:00|")&lt;FIND("|"&amp;R321&amp;"|","|1-5 min|5-15 min|15-60 min|9:30-11:00|11:00-16:00|Not by 16:00|"),IF(E321="Up","High first (main side)",IF(E321="Down","High first (wick side)","High first")),IF(E321="Down","Low first (main side)",IF(E321="Up","Low first (wick side)","Low first"))))),"Check entries"))</f>
        <v/>
      </c>
      <c r="X321" s="28" t="n"/>
      <c r="Y321" s="27" t="n"/>
      <c r="Z321" s="27" t="n"/>
      <c r="AA321" s="27" t="n"/>
      <c r="AB321" s="27" t="n"/>
      <c r="AC321" s="27" t="n"/>
      <c r="AD321" s="27" t="n"/>
      <c r="AE321" s="28" t="n"/>
      <c r="AF321" s="30" t="n"/>
      <c r="AG321" s="27" t="n"/>
    </row>
    <row r="322">
      <c r="A322" s="25" t="n"/>
      <c r="B322" s="26">
        <f>IF(ISNUMBER(A322),TEXT(A322,"ddd"),"")</f>
        <v/>
      </c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8" t="n"/>
      <c r="M322" s="26">
        <f>IF(OR(L322="",AND(E322&lt;&gt;"Up",E322&lt;&gt;"Down")),"",IF(OR(L322="In line",L322="Mixed"),"Neutral data",IF(OR(AND(L322="Hotter",E322="Down"),AND(L322="Cooler",E322="Up")),"With data","Against data")))</f>
        <v/>
      </c>
      <c r="N322" s="28" t="n"/>
      <c r="O322" s="27" t="n"/>
      <c r="P322" s="27" t="n"/>
      <c r="Q322" s="28" t="n"/>
      <c r="R322" s="27" t="n"/>
      <c r="S322" s="29" t="n"/>
      <c r="T322" s="27" t="n"/>
      <c r="U322" s="27" t="n"/>
      <c r="V322" s="26">
        <f>IF(OR(AND(E322&lt;&gt;"Up",E322&lt;&gt;"Down"),NOT(ISNUMBER(S322)),IF(E322="Up",Q322,R322)=""),"",IF(S322&gt;=100,"Back to open",IF(OR(IF(E322="Up",Q322,R322)="1-5 min",IF(E322="Up",Q322,R322)="5-15 min"),"Continued",IF(S322&gt;=50,"Partial retrace","Stalled / chop"))))</f>
        <v/>
      </c>
      <c r="W322" s="26">
        <f>IF(OR(Q322="",R322=""),"",IFERROR(IF(AND(Q322="Not by 16:00",R322="Not by 16:00"),"Neither taken",IF(FIND("|"&amp;Q322&amp;"|","|1-5 min|5-15 min|15-60 min|9:30-11:00|11:00-16:00|Not by 16:00|")=FIND("|"&amp;R322&amp;"|","|1-5 min|5-15 min|15-60 min|9:30-11:00|11:00-16:00|Not by 16:00|"),"Same window",IF(FIND("|"&amp;Q322&amp;"|","|1-5 min|5-15 min|15-60 min|9:30-11:00|11:00-16:00|Not by 16:00|")&lt;FIND("|"&amp;R322&amp;"|","|1-5 min|5-15 min|15-60 min|9:30-11:00|11:00-16:00|Not by 16:00|"),IF(E322="Up","High first (main side)",IF(E322="Down","High first (wick side)","High first")),IF(E322="Down","Low first (main side)",IF(E322="Up","Low first (wick side)","Low first"))))),"Check entries"))</f>
        <v/>
      </c>
      <c r="X322" s="28" t="n"/>
      <c r="Y322" s="27" t="n"/>
      <c r="Z322" s="27" t="n"/>
      <c r="AA322" s="27" t="n"/>
      <c r="AB322" s="27" t="n"/>
      <c r="AC322" s="27" t="n"/>
      <c r="AD322" s="27" t="n"/>
      <c r="AE322" s="28" t="n"/>
      <c r="AF322" s="30" t="n"/>
      <c r="AG322" s="27" t="n"/>
    </row>
    <row r="323">
      <c r="A323" s="25" t="n"/>
      <c r="B323" s="26">
        <f>IF(ISNUMBER(A323),TEXT(A323,"ddd"),"")</f>
        <v/>
      </c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8" t="n"/>
      <c r="M323" s="26">
        <f>IF(OR(L323="",AND(E323&lt;&gt;"Up",E323&lt;&gt;"Down")),"",IF(OR(L323="In line",L323="Mixed"),"Neutral data",IF(OR(AND(L323="Hotter",E323="Down"),AND(L323="Cooler",E323="Up")),"With data","Against data")))</f>
        <v/>
      </c>
      <c r="N323" s="28" t="n"/>
      <c r="O323" s="27" t="n"/>
      <c r="P323" s="27" t="n"/>
      <c r="Q323" s="28" t="n"/>
      <c r="R323" s="27" t="n"/>
      <c r="S323" s="29" t="n"/>
      <c r="T323" s="27" t="n"/>
      <c r="U323" s="27" t="n"/>
      <c r="V323" s="26">
        <f>IF(OR(AND(E323&lt;&gt;"Up",E323&lt;&gt;"Down"),NOT(ISNUMBER(S323)),IF(E323="Up",Q323,R323)=""),"",IF(S323&gt;=100,"Back to open",IF(OR(IF(E323="Up",Q323,R323)="1-5 min",IF(E323="Up",Q323,R323)="5-15 min"),"Continued",IF(S323&gt;=50,"Partial retrace","Stalled / chop"))))</f>
        <v/>
      </c>
      <c r="W323" s="26">
        <f>IF(OR(Q323="",R323=""),"",IFERROR(IF(AND(Q323="Not by 16:00",R323="Not by 16:00"),"Neither taken",IF(FIND("|"&amp;Q323&amp;"|","|1-5 min|5-15 min|15-60 min|9:30-11:00|11:00-16:00|Not by 16:00|")=FIND("|"&amp;R323&amp;"|","|1-5 min|5-15 min|15-60 min|9:30-11:00|11:00-16:00|Not by 16:00|"),"Same window",IF(FIND("|"&amp;Q323&amp;"|","|1-5 min|5-15 min|15-60 min|9:30-11:00|11:00-16:00|Not by 16:00|")&lt;FIND("|"&amp;R323&amp;"|","|1-5 min|5-15 min|15-60 min|9:30-11:00|11:00-16:00|Not by 16:00|"),IF(E323="Up","High first (main side)",IF(E323="Down","High first (wick side)","High first")),IF(E323="Down","Low first (main side)",IF(E323="Up","Low first (wick side)","Low first"))))),"Check entries"))</f>
        <v/>
      </c>
      <c r="X323" s="28" t="n"/>
      <c r="Y323" s="27" t="n"/>
      <c r="Z323" s="27" t="n"/>
      <c r="AA323" s="27" t="n"/>
      <c r="AB323" s="27" t="n"/>
      <c r="AC323" s="27" t="n"/>
      <c r="AD323" s="27" t="n"/>
      <c r="AE323" s="28" t="n"/>
      <c r="AF323" s="30" t="n"/>
      <c r="AG323" s="27" t="n"/>
    </row>
    <row r="324">
      <c r="A324" s="25" t="n"/>
      <c r="B324" s="26">
        <f>IF(ISNUMBER(A324),TEXT(A324,"ddd"),"")</f>
        <v/>
      </c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8" t="n"/>
      <c r="M324" s="26">
        <f>IF(OR(L324="",AND(E324&lt;&gt;"Up",E324&lt;&gt;"Down")),"",IF(OR(L324="In line",L324="Mixed"),"Neutral data",IF(OR(AND(L324="Hotter",E324="Down"),AND(L324="Cooler",E324="Up")),"With data","Against data")))</f>
        <v/>
      </c>
      <c r="N324" s="28" t="n"/>
      <c r="O324" s="27" t="n"/>
      <c r="P324" s="27" t="n"/>
      <c r="Q324" s="28" t="n"/>
      <c r="R324" s="27" t="n"/>
      <c r="S324" s="29" t="n"/>
      <c r="T324" s="27" t="n"/>
      <c r="U324" s="27" t="n"/>
      <c r="V324" s="26">
        <f>IF(OR(AND(E324&lt;&gt;"Up",E324&lt;&gt;"Down"),NOT(ISNUMBER(S324)),IF(E324="Up",Q324,R324)=""),"",IF(S324&gt;=100,"Back to open",IF(OR(IF(E324="Up",Q324,R324)="1-5 min",IF(E324="Up",Q324,R324)="5-15 min"),"Continued",IF(S324&gt;=50,"Partial retrace","Stalled / chop"))))</f>
        <v/>
      </c>
      <c r="W324" s="26">
        <f>IF(OR(Q324="",R324=""),"",IFERROR(IF(AND(Q324="Not by 16:00",R324="Not by 16:00"),"Neither taken",IF(FIND("|"&amp;Q324&amp;"|","|1-5 min|5-15 min|15-60 min|9:30-11:00|11:00-16:00|Not by 16:00|")=FIND("|"&amp;R324&amp;"|","|1-5 min|5-15 min|15-60 min|9:30-11:00|11:00-16:00|Not by 16:00|"),"Same window",IF(FIND("|"&amp;Q324&amp;"|","|1-5 min|5-15 min|15-60 min|9:30-11:00|11:00-16:00|Not by 16:00|")&lt;FIND("|"&amp;R324&amp;"|","|1-5 min|5-15 min|15-60 min|9:30-11:00|11:00-16:00|Not by 16:00|"),IF(E324="Up","High first (main side)",IF(E324="Down","High first (wick side)","High first")),IF(E324="Down","Low first (main side)",IF(E324="Up","Low first (wick side)","Low first"))))),"Check entries"))</f>
        <v/>
      </c>
      <c r="X324" s="28" t="n"/>
      <c r="Y324" s="27" t="n"/>
      <c r="Z324" s="27" t="n"/>
      <c r="AA324" s="27" t="n"/>
      <c r="AB324" s="27" t="n"/>
      <c r="AC324" s="27" t="n"/>
      <c r="AD324" s="27" t="n"/>
      <c r="AE324" s="28" t="n"/>
      <c r="AF324" s="30" t="n"/>
      <c r="AG324" s="27" t="n"/>
    </row>
    <row r="325">
      <c r="A325" s="25" t="n"/>
      <c r="B325" s="26">
        <f>IF(ISNUMBER(A325),TEXT(A325,"ddd"),"")</f>
        <v/>
      </c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8" t="n"/>
      <c r="M325" s="26">
        <f>IF(OR(L325="",AND(E325&lt;&gt;"Up",E325&lt;&gt;"Down")),"",IF(OR(L325="In line",L325="Mixed"),"Neutral data",IF(OR(AND(L325="Hotter",E325="Down"),AND(L325="Cooler",E325="Up")),"With data","Against data")))</f>
        <v/>
      </c>
      <c r="N325" s="28" t="n"/>
      <c r="O325" s="27" t="n"/>
      <c r="P325" s="27" t="n"/>
      <c r="Q325" s="28" t="n"/>
      <c r="R325" s="27" t="n"/>
      <c r="S325" s="29" t="n"/>
      <c r="T325" s="27" t="n"/>
      <c r="U325" s="27" t="n"/>
      <c r="V325" s="26">
        <f>IF(OR(AND(E325&lt;&gt;"Up",E325&lt;&gt;"Down"),NOT(ISNUMBER(S325)),IF(E325="Up",Q325,R325)=""),"",IF(S325&gt;=100,"Back to open",IF(OR(IF(E325="Up",Q325,R325)="1-5 min",IF(E325="Up",Q325,R325)="5-15 min"),"Continued",IF(S325&gt;=50,"Partial retrace","Stalled / chop"))))</f>
        <v/>
      </c>
      <c r="W325" s="26">
        <f>IF(OR(Q325="",R325=""),"",IFERROR(IF(AND(Q325="Not by 16:00",R325="Not by 16:00"),"Neither taken",IF(FIND("|"&amp;Q325&amp;"|","|1-5 min|5-15 min|15-60 min|9:30-11:00|11:00-16:00|Not by 16:00|")=FIND("|"&amp;R325&amp;"|","|1-5 min|5-15 min|15-60 min|9:30-11:00|11:00-16:00|Not by 16:00|"),"Same window",IF(FIND("|"&amp;Q325&amp;"|","|1-5 min|5-15 min|15-60 min|9:30-11:00|11:00-16:00|Not by 16:00|")&lt;FIND("|"&amp;R325&amp;"|","|1-5 min|5-15 min|15-60 min|9:30-11:00|11:00-16:00|Not by 16:00|"),IF(E325="Up","High first (main side)",IF(E325="Down","High first (wick side)","High first")),IF(E325="Down","Low first (main side)",IF(E325="Up","Low first (wick side)","Low first"))))),"Check entries"))</f>
        <v/>
      </c>
      <c r="X325" s="28" t="n"/>
      <c r="Y325" s="27" t="n"/>
      <c r="Z325" s="27" t="n"/>
      <c r="AA325" s="27" t="n"/>
      <c r="AB325" s="27" t="n"/>
      <c r="AC325" s="27" t="n"/>
      <c r="AD325" s="27" t="n"/>
      <c r="AE325" s="28" t="n"/>
      <c r="AF325" s="30" t="n"/>
      <c r="AG325" s="27" t="n"/>
    </row>
    <row r="326">
      <c r="A326" s="25" t="n"/>
      <c r="B326" s="26">
        <f>IF(ISNUMBER(A326),TEXT(A326,"ddd"),"")</f>
        <v/>
      </c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8" t="n"/>
      <c r="M326" s="26">
        <f>IF(OR(L326="",AND(E326&lt;&gt;"Up",E326&lt;&gt;"Down")),"",IF(OR(L326="In line",L326="Mixed"),"Neutral data",IF(OR(AND(L326="Hotter",E326="Down"),AND(L326="Cooler",E326="Up")),"With data","Against data")))</f>
        <v/>
      </c>
      <c r="N326" s="28" t="n"/>
      <c r="O326" s="27" t="n"/>
      <c r="P326" s="27" t="n"/>
      <c r="Q326" s="28" t="n"/>
      <c r="R326" s="27" t="n"/>
      <c r="S326" s="29" t="n"/>
      <c r="T326" s="27" t="n"/>
      <c r="U326" s="27" t="n"/>
      <c r="V326" s="26">
        <f>IF(OR(AND(E326&lt;&gt;"Up",E326&lt;&gt;"Down"),NOT(ISNUMBER(S326)),IF(E326="Up",Q326,R326)=""),"",IF(S326&gt;=100,"Back to open",IF(OR(IF(E326="Up",Q326,R326)="1-5 min",IF(E326="Up",Q326,R326)="5-15 min"),"Continued",IF(S326&gt;=50,"Partial retrace","Stalled / chop"))))</f>
        <v/>
      </c>
      <c r="W326" s="26">
        <f>IF(OR(Q326="",R326=""),"",IFERROR(IF(AND(Q326="Not by 16:00",R326="Not by 16:00"),"Neither taken",IF(FIND("|"&amp;Q326&amp;"|","|1-5 min|5-15 min|15-60 min|9:30-11:00|11:00-16:00|Not by 16:00|")=FIND("|"&amp;R326&amp;"|","|1-5 min|5-15 min|15-60 min|9:30-11:00|11:00-16:00|Not by 16:00|"),"Same window",IF(FIND("|"&amp;Q326&amp;"|","|1-5 min|5-15 min|15-60 min|9:30-11:00|11:00-16:00|Not by 16:00|")&lt;FIND("|"&amp;R326&amp;"|","|1-5 min|5-15 min|15-60 min|9:30-11:00|11:00-16:00|Not by 16:00|"),IF(E326="Up","High first (main side)",IF(E326="Down","High first (wick side)","High first")),IF(E326="Down","Low first (main side)",IF(E326="Up","Low first (wick side)","Low first"))))),"Check entries"))</f>
        <v/>
      </c>
      <c r="X326" s="28" t="n"/>
      <c r="Y326" s="27" t="n"/>
      <c r="Z326" s="27" t="n"/>
      <c r="AA326" s="27" t="n"/>
      <c r="AB326" s="27" t="n"/>
      <c r="AC326" s="27" t="n"/>
      <c r="AD326" s="27" t="n"/>
      <c r="AE326" s="28" t="n"/>
      <c r="AF326" s="30" t="n"/>
      <c r="AG326" s="27" t="n"/>
    </row>
    <row r="327">
      <c r="A327" s="25" t="n"/>
      <c r="B327" s="26">
        <f>IF(ISNUMBER(A327),TEXT(A327,"ddd"),"")</f>
        <v/>
      </c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8" t="n"/>
      <c r="M327" s="26">
        <f>IF(OR(L327="",AND(E327&lt;&gt;"Up",E327&lt;&gt;"Down")),"",IF(OR(L327="In line",L327="Mixed"),"Neutral data",IF(OR(AND(L327="Hotter",E327="Down"),AND(L327="Cooler",E327="Up")),"With data","Against data")))</f>
        <v/>
      </c>
      <c r="N327" s="28" t="n"/>
      <c r="O327" s="27" t="n"/>
      <c r="P327" s="27" t="n"/>
      <c r="Q327" s="28" t="n"/>
      <c r="R327" s="27" t="n"/>
      <c r="S327" s="29" t="n"/>
      <c r="T327" s="27" t="n"/>
      <c r="U327" s="27" t="n"/>
      <c r="V327" s="26">
        <f>IF(OR(AND(E327&lt;&gt;"Up",E327&lt;&gt;"Down"),NOT(ISNUMBER(S327)),IF(E327="Up",Q327,R327)=""),"",IF(S327&gt;=100,"Back to open",IF(OR(IF(E327="Up",Q327,R327)="1-5 min",IF(E327="Up",Q327,R327)="5-15 min"),"Continued",IF(S327&gt;=50,"Partial retrace","Stalled / chop"))))</f>
        <v/>
      </c>
      <c r="W327" s="26">
        <f>IF(OR(Q327="",R327=""),"",IFERROR(IF(AND(Q327="Not by 16:00",R327="Not by 16:00"),"Neither taken",IF(FIND("|"&amp;Q327&amp;"|","|1-5 min|5-15 min|15-60 min|9:30-11:00|11:00-16:00|Not by 16:00|")=FIND("|"&amp;R327&amp;"|","|1-5 min|5-15 min|15-60 min|9:30-11:00|11:00-16:00|Not by 16:00|"),"Same window",IF(FIND("|"&amp;Q327&amp;"|","|1-5 min|5-15 min|15-60 min|9:30-11:00|11:00-16:00|Not by 16:00|")&lt;FIND("|"&amp;R327&amp;"|","|1-5 min|5-15 min|15-60 min|9:30-11:00|11:00-16:00|Not by 16:00|"),IF(E327="Up","High first (main side)",IF(E327="Down","High first (wick side)","High first")),IF(E327="Down","Low first (main side)",IF(E327="Up","Low first (wick side)","Low first"))))),"Check entries"))</f>
        <v/>
      </c>
      <c r="X327" s="28" t="n"/>
      <c r="Y327" s="27" t="n"/>
      <c r="Z327" s="27" t="n"/>
      <c r="AA327" s="27" t="n"/>
      <c r="AB327" s="27" t="n"/>
      <c r="AC327" s="27" t="n"/>
      <c r="AD327" s="27" t="n"/>
      <c r="AE327" s="28" t="n"/>
      <c r="AF327" s="30" t="n"/>
      <c r="AG327" s="27" t="n"/>
    </row>
    <row r="328">
      <c r="A328" s="25" t="n"/>
      <c r="B328" s="26">
        <f>IF(ISNUMBER(A328),TEXT(A328,"ddd"),"")</f>
        <v/>
      </c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8" t="n"/>
      <c r="M328" s="26">
        <f>IF(OR(L328="",AND(E328&lt;&gt;"Up",E328&lt;&gt;"Down")),"",IF(OR(L328="In line",L328="Mixed"),"Neutral data",IF(OR(AND(L328="Hotter",E328="Down"),AND(L328="Cooler",E328="Up")),"With data","Against data")))</f>
        <v/>
      </c>
      <c r="N328" s="28" t="n"/>
      <c r="O328" s="27" t="n"/>
      <c r="P328" s="27" t="n"/>
      <c r="Q328" s="28" t="n"/>
      <c r="R328" s="27" t="n"/>
      <c r="S328" s="29" t="n"/>
      <c r="T328" s="27" t="n"/>
      <c r="U328" s="27" t="n"/>
      <c r="V328" s="26">
        <f>IF(OR(AND(E328&lt;&gt;"Up",E328&lt;&gt;"Down"),NOT(ISNUMBER(S328)),IF(E328="Up",Q328,R328)=""),"",IF(S328&gt;=100,"Back to open",IF(OR(IF(E328="Up",Q328,R328)="1-5 min",IF(E328="Up",Q328,R328)="5-15 min"),"Continued",IF(S328&gt;=50,"Partial retrace","Stalled / chop"))))</f>
        <v/>
      </c>
      <c r="W328" s="26">
        <f>IF(OR(Q328="",R328=""),"",IFERROR(IF(AND(Q328="Not by 16:00",R328="Not by 16:00"),"Neither taken",IF(FIND("|"&amp;Q328&amp;"|","|1-5 min|5-15 min|15-60 min|9:30-11:00|11:00-16:00|Not by 16:00|")=FIND("|"&amp;R328&amp;"|","|1-5 min|5-15 min|15-60 min|9:30-11:00|11:00-16:00|Not by 16:00|"),"Same window",IF(FIND("|"&amp;Q328&amp;"|","|1-5 min|5-15 min|15-60 min|9:30-11:00|11:00-16:00|Not by 16:00|")&lt;FIND("|"&amp;R328&amp;"|","|1-5 min|5-15 min|15-60 min|9:30-11:00|11:00-16:00|Not by 16:00|"),IF(E328="Up","High first (main side)",IF(E328="Down","High first (wick side)","High first")),IF(E328="Down","Low first (main side)",IF(E328="Up","Low first (wick side)","Low first"))))),"Check entries"))</f>
        <v/>
      </c>
      <c r="X328" s="28" t="n"/>
      <c r="Y328" s="27" t="n"/>
      <c r="Z328" s="27" t="n"/>
      <c r="AA328" s="27" t="n"/>
      <c r="AB328" s="27" t="n"/>
      <c r="AC328" s="27" t="n"/>
      <c r="AD328" s="27" t="n"/>
      <c r="AE328" s="28" t="n"/>
      <c r="AF328" s="30" t="n"/>
      <c r="AG328" s="27" t="n"/>
    </row>
    <row r="329">
      <c r="A329" s="25" t="n"/>
      <c r="B329" s="26">
        <f>IF(ISNUMBER(A329),TEXT(A329,"ddd"),"")</f>
        <v/>
      </c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8" t="n"/>
      <c r="M329" s="26">
        <f>IF(OR(L329="",AND(E329&lt;&gt;"Up",E329&lt;&gt;"Down")),"",IF(OR(L329="In line",L329="Mixed"),"Neutral data",IF(OR(AND(L329="Hotter",E329="Down"),AND(L329="Cooler",E329="Up")),"With data","Against data")))</f>
        <v/>
      </c>
      <c r="N329" s="28" t="n"/>
      <c r="O329" s="27" t="n"/>
      <c r="P329" s="27" t="n"/>
      <c r="Q329" s="28" t="n"/>
      <c r="R329" s="27" t="n"/>
      <c r="S329" s="29" t="n"/>
      <c r="T329" s="27" t="n"/>
      <c r="U329" s="27" t="n"/>
      <c r="V329" s="26">
        <f>IF(OR(AND(E329&lt;&gt;"Up",E329&lt;&gt;"Down"),NOT(ISNUMBER(S329)),IF(E329="Up",Q329,R329)=""),"",IF(S329&gt;=100,"Back to open",IF(OR(IF(E329="Up",Q329,R329)="1-5 min",IF(E329="Up",Q329,R329)="5-15 min"),"Continued",IF(S329&gt;=50,"Partial retrace","Stalled / chop"))))</f>
        <v/>
      </c>
      <c r="W329" s="26">
        <f>IF(OR(Q329="",R329=""),"",IFERROR(IF(AND(Q329="Not by 16:00",R329="Not by 16:00"),"Neither taken",IF(FIND("|"&amp;Q329&amp;"|","|1-5 min|5-15 min|15-60 min|9:30-11:00|11:00-16:00|Not by 16:00|")=FIND("|"&amp;R329&amp;"|","|1-5 min|5-15 min|15-60 min|9:30-11:00|11:00-16:00|Not by 16:00|"),"Same window",IF(FIND("|"&amp;Q329&amp;"|","|1-5 min|5-15 min|15-60 min|9:30-11:00|11:00-16:00|Not by 16:00|")&lt;FIND("|"&amp;R329&amp;"|","|1-5 min|5-15 min|15-60 min|9:30-11:00|11:00-16:00|Not by 16:00|"),IF(E329="Up","High first (main side)",IF(E329="Down","High first (wick side)","High first")),IF(E329="Down","Low first (main side)",IF(E329="Up","Low first (wick side)","Low first"))))),"Check entries"))</f>
        <v/>
      </c>
      <c r="X329" s="28" t="n"/>
      <c r="Y329" s="27" t="n"/>
      <c r="Z329" s="27" t="n"/>
      <c r="AA329" s="27" t="n"/>
      <c r="AB329" s="27" t="n"/>
      <c r="AC329" s="27" t="n"/>
      <c r="AD329" s="27" t="n"/>
      <c r="AE329" s="28" t="n"/>
      <c r="AF329" s="30" t="n"/>
      <c r="AG329" s="27" t="n"/>
    </row>
    <row r="330">
      <c r="A330" s="25" t="n"/>
      <c r="B330" s="26">
        <f>IF(ISNUMBER(A330),TEXT(A330,"ddd"),"")</f>
        <v/>
      </c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8" t="n"/>
      <c r="M330" s="26">
        <f>IF(OR(L330="",AND(E330&lt;&gt;"Up",E330&lt;&gt;"Down")),"",IF(OR(L330="In line",L330="Mixed"),"Neutral data",IF(OR(AND(L330="Hotter",E330="Down"),AND(L330="Cooler",E330="Up")),"With data","Against data")))</f>
        <v/>
      </c>
      <c r="N330" s="28" t="n"/>
      <c r="O330" s="27" t="n"/>
      <c r="P330" s="27" t="n"/>
      <c r="Q330" s="28" t="n"/>
      <c r="R330" s="27" t="n"/>
      <c r="S330" s="29" t="n"/>
      <c r="T330" s="27" t="n"/>
      <c r="U330" s="27" t="n"/>
      <c r="V330" s="26">
        <f>IF(OR(AND(E330&lt;&gt;"Up",E330&lt;&gt;"Down"),NOT(ISNUMBER(S330)),IF(E330="Up",Q330,R330)=""),"",IF(S330&gt;=100,"Back to open",IF(OR(IF(E330="Up",Q330,R330)="1-5 min",IF(E330="Up",Q330,R330)="5-15 min"),"Continued",IF(S330&gt;=50,"Partial retrace","Stalled / chop"))))</f>
        <v/>
      </c>
      <c r="W330" s="26">
        <f>IF(OR(Q330="",R330=""),"",IFERROR(IF(AND(Q330="Not by 16:00",R330="Not by 16:00"),"Neither taken",IF(FIND("|"&amp;Q330&amp;"|","|1-5 min|5-15 min|15-60 min|9:30-11:00|11:00-16:00|Not by 16:00|")=FIND("|"&amp;R330&amp;"|","|1-5 min|5-15 min|15-60 min|9:30-11:00|11:00-16:00|Not by 16:00|"),"Same window",IF(FIND("|"&amp;Q330&amp;"|","|1-5 min|5-15 min|15-60 min|9:30-11:00|11:00-16:00|Not by 16:00|")&lt;FIND("|"&amp;R330&amp;"|","|1-5 min|5-15 min|15-60 min|9:30-11:00|11:00-16:00|Not by 16:00|"),IF(E330="Up","High first (main side)",IF(E330="Down","High first (wick side)","High first")),IF(E330="Down","Low first (main side)",IF(E330="Up","Low first (wick side)","Low first"))))),"Check entries"))</f>
        <v/>
      </c>
      <c r="X330" s="28" t="n"/>
      <c r="Y330" s="27" t="n"/>
      <c r="Z330" s="27" t="n"/>
      <c r="AA330" s="27" t="n"/>
      <c r="AB330" s="27" t="n"/>
      <c r="AC330" s="27" t="n"/>
      <c r="AD330" s="27" t="n"/>
      <c r="AE330" s="28" t="n"/>
      <c r="AF330" s="30" t="n"/>
      <c r="AG330" s="27" t="n"/>
    </row>
    <row r="331">
      <c r="A331" s="25" t="n"/>
      <c r="B331" s="26">
        <f>IF(ISNUMBER(A331),TEXT(A331,"ddd"),"")</f>
        <v/>
      </c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8" t="n"/>
      <c r="M331" s="26">
        <f>IF(OR(L331="",AND(E331&lt;&gt;"Up",E331&lt;&gt;"Down")),"",IF(OR(L331="In line",L331="Mixed"),"Neutral data",IF(OR(AND(L331="Hotter",E331="Down"),AND(L331="Cooler",E331="Up")),"With data","Against data")))</f>
        <v/>
      </c>
      <c r="N331" s="28" t="n"/>
      <c r="O331" s="27" t="n"/>
      <c r="P331" s="27" t="n"/>
      <c r="Q331" s="28" t="n"/>
      <c r="R331" s="27" t="n"/>
      <c r="S331" s="29" t="n"/>
      <c r="T331" s="27" t="n"/>
      <c r="U331" s="27" t="n"/>
      <c r="V331" s="26">
        <f>IF(OR(AND(E331&lt;&gt;"Up",E331&lt;&gt;"Down"),NOT(ISNUMBER(S331)),IF(E331="Up",Q331,R331)=""),"",IF(S331&gt;=100,"Back to open",IF(OR(IF(E331="Up",Q331,R331)="1-5 min",IF(E331="Up",Q331,R331)="5-15 min"),"Continued",IF(S331&gt;=50,"Partial retrace","Stalled / chop"))))</f>
        <v/>
      </c>
      <c r="W331" s="26">
        <f>IF(OR(Q331="",R331=""),"",IFERROR(IF(AND(Q331="Not by 16:00",R331="Not by 16:00"),"Neither taken",IF(FIND("|"&amp;Q331&amp;"|","|1-5 min|5-15 min|15-60 min|9:30-11:00|11:00-16:00|Not by 16:00|")=FIND("|"&amp;R331&amp;"|","|1-5 min|5-15 min|15-60 min|9:30-11:00|11:00-16:00|Not by 16:00|"),"Same window",IF(FIND("|"&amp;Q331&amp;"|","|1-5 min|5-15 min|15-60 min|9:30-11:00|11:00-16:00|Not by 16:00|")&lt;FIND("|"&amp;R331&amp;"|","|1-5 min|5-15 min|15-60 min|9:30-11:00|11:00-16:00|Not by 16:00|"),IF(E331="Up","High first (main side)",IF(E331="Down","High first (wick side)","High first")),IF(E331="Down","Low first (main side)",IF(E331="Up","Low first (wick side)","Low first"))))),"Check entries"))</f>
        <v/>
      </c>
      <c r="X331" s="28" t="n"/>
      <c r="Y331" s="27" t="n"/>
      <c r="Z331" s="27" t="n"/>
      <c r="AA331" s="27" t="n"/>
      <c r="AB331" s="27" t="n"/>
      <c r="AC331" s="27" t="n"/>
      <c r="AD331" s="27" t="n"/>
      <c r="AE331" s="28" t="n"/>
      <c r="AF331" s="30" t="n"/>
      <c r="AG331" s="27" t="n"/>
    </row>
    <row r="332">
      <c r="A332" s="25" t="n"/>
      <c r="B332" s="26">
        <f>IF(ISNUMBER(A332),TEXT(A332,"ddd"),"")</f>
        <v/>
      </c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8" t="n"/>
      <c r="M332" s="26">
        <f>IF(OR(L332="",AND(E332&lt;&gt;"Up",E332&lt;&gt;"Down")),"",IF(OR(L332="In line",L332="Mixed"),"Neutral data",IF(OR(AND(L332="Hotter",E332="Down"),AND(L332="Cooler",E332="Up")),"With data","Against data")))</f>
        <v/>
      </c>
      <c r="N332" s="28" t="n"/>
      <c r="O332" s="27" t="n"/>
      <c r="P332" s="27" t="n"/>
      <c r="Q332" s="28" t="n"/>
      <c r="R332" s="27" t="n"/>
      <c r="S332" s="29" t="n"/>
      <c r="T332" s="27" t="n"/>
      <c r="U332" s="27" t="n"/>
      <c r="V332" s="26">
        <f>IF(OR(AND(E332&lt;&gt;"Up",E332&lt;&gt;"Down"),NOT(ISNUMBER(S332)),IF(E332="Up",Q332,R332)=""),"",IF(S332&gt;=100,"Back to open",IF(OR(IF(E332="Up",Q332,R332)="1-5 min",IF(E332="Up",Q332,R332)="5-15 min"),"Continued",IF(S332&gt;=50,"Partial retrace","Stalled / chop"))))</f>
        <v/>
      </c>
      <c r="W332" s="26">
        <f>IF(OR(Q332="",R332=""),"",IFERROR(IF(AND(Q332="Not by 16:00",R332="Not by 16:00"),"Neither taken",IF(FIND("|"&amp;Q332&amp;"|","|1-5 min|5-15 min|15-60 min|9:30-11:00|11:00-16:00|Not by 16:00|")=FIND("|"&amp;R332&amp;"|","|1-5 min|5-15 min|15-60 min|9:30-11:00|11:00-16:00|Not by 16:00|"),"Same window",IF(FIND("|"&amp;Q332&amp;"|","|1-5 min|5-15 min|15-60 min|9:30-11:00|11:00-16:00|Not by 16:00|")&lt;FIND("|"&amp;R332&amp;"|","|1-5 min|5-15 min|15-60 min|9:30-11:00|11:00-16:00|Not by 16:00|"),IF(E332="Up","High first (main side)",IF(E332="Down","High first (wick side)","High first")),IF(E332="Down","Low first (main side)",IF(E332="Up","Low first (wick side)","Low first"))))),"Check entries"))</f>
        <v/>
      </c>
      <c r="X332" s="28" t="n"/>
      <c r="Y332" s="27" t="n"/>
      <c r="Z332" s="27" t="n"/>
      <c r="AA332" s="27" t="n"/>
      <c r="AB332" s="27" t="n"/>
      <c r="AC332" s="27" t="n"/>
      <c r="AD332" s="27" t="n"/>
      <c r="AE332" s="28" t="n"/>
      <c r="AF332" s="30" t="n"/>
      <c r="AG332" s="27" t="n"/>
    </row>
    <row r="333">
      <c r="A333" s="25" t="n"/>
      <c r="B333" s="26">
        <f>IF(ISNUMBER(A333),TEXT(A333,"ddd"),"")</f>
        <v/>
      </c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8" t="n"/>
      <c r="M333" s="26">
        <f>IF(OR(L333="",AND(E333&lt;&gt;"Up",E333&lt;&gt;"Down")),"",IF(OR(L333="In line",L333="Mixed"),"Neutral data",IF(OR(AND(L333="Hotter",E333="Down"),AND(L333="Cooler",E333="Up")),"With data","Against data")))</f>
        <v/>
      </c>
      <c r="N333" s="28" t="n"/>
      <c r="O333" s="27" t="n"/>
      <c r="P333" s="27" t="n"/>
      <c r="Q333" s="28" t="n"/>
      <c r="R333" s="27" t="n"/>
      <c r="S333" s="29" t="n"/>
      <c r="T333" s="27" t="n"/>
      <c r="U333" s="27" t="n"/>
      <c r="V333" s="26">
        <f>IF(OR(AND(E333&lt;&gt;"Up",E333&lt;&gt;"Down"),NOT(ISNUMBER(S333)),IF(E333="Up",Q333,R333)=""),"",IF(S333&gt;=100,"Back to open",IF(OR(IF(E333="Up",Q333,R333)="1-5 min",IF(E333="Up",Q333,R333)="5-15 min"),"Continued",IF(S333&gt;=50,"Partial retrace","Stalled / chop"))))</f>
        <v/>
      </c>
      <c r="W333" s="26">
        <f>IF(OR(Q333="",R333=""),"",IFERROR(IF(AND(Q333="Not by 16:00",R333="Not by 16:00"),"Neither taken",IF(FIND("|"&amp;Q333&amp;"|","|1-5 min|5-15 min|15-60 min|9:30-11:00|11:00-16:00|Not by 16:00|")=FIND("|"&amp;R333&amp;"|","|1-5 min|5-15 min|15-60 min|9:30-11:00|11:00-16:00|Not by 16:00|"),"Same window",IF(FIND("|"&amp;Q333&amp;"|","|1-5 min|5-15 min|15-60 min|9:30-11:00|11:00-16:00|Not by 16:00|")&lt;FIND("|"&amp;R333&amp;"|","|1-5 min|5-15 min|15-60 min|9:30-11:00|11:00-16:00|Not by 16:00|"),IF(E333="Up","High first (main side)",IF(E333="Down","High first (wick side)","High first")),IF(E333="Down","Low first (main side)",IF(E333="Up","Low first (wick side)","Low first"))))),"Check entries"))</f>
        <v/>
      </c>
      <c r="X333" s="28" t="n"/>
      <c r="Y333" s="27" t="n"/>
      <c r="Z333" s="27" t="n"/>
      <c r="AA333" s="27" t="n"/>
      <c r="AB333" s="27" t="n"/>
      <c r="AC333" s="27" t="n"/>
      <c r="AD333" s="27" t="n"/>
      <c r="AE333" s="28" t="n"/>
      <c r="AF333" s="30" t="n"/>
      <c r="AG333" s="27" t="n"/>
    </row>
    <row r="334">
      <c r="A334" s="25" t="n"/>
      <c r="B334" s="26">
        <f>IF(ISNUMBER(A334),TEXT(A334,"ddd"),"")</f>
        <v/>
      </c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8" t="n"/>
      <c r="M334" s="26">
        <f>IF(OR(L334="",AND(E334&lt;&gt;"Up",E334&lt;&gt;"Down")),"",IF(OR(L334="In line",L334="Mixed"),"Neutral data",IF(OR(AND(L334="Hotter",E334="Down"),AND(L334="Cooler",E334="Up")),"With data","Against data")))</f>
        <v/>
      </c>
      <c r="N334" s="28" t="n"/>
      <c r="O334" s="27" t="n"/>
      <c r="P334" s="27" t="n"/>
      <c r="Q334" s="28" t="n"/>
      <c r="R334" s="27" t="n"/>
      <c r="S334" s="29" t="n"/>
      <c r="T334" s="27" t="n"/>
      <c r="U334" s="27" t="n"/>
      <c r="V334" s="26">
        <f>IF(OR(AND(E334&lt;&gt;"Up",E334&lt;&gt;"Down"),NOT(ISNUMBER(S334)),IF(E334="Up",Q334,R334)=""),"",IF(S334&gt;=100,"Back to open",IF(OR(IF(E334="Up",Q334,R334)="1-5 min",IF(E334="Up",Q334,R334)="5-15 min"),"Continued",IF(S334&gt;=50,"Partial retrace","Stalled / chop"))))</f>
        <v/>
      </c>
      <c r="W334" s="26">
        <f>IF(OR(Q334="",R334=""),"",IFERROR(IF(AND(Q334="Not by 16:00",R334="Not by 16:00"),"Neither taken",IF(FIND("|"&amp;Q334&amp;"|","|1-5 min|5-15 min|15-60 min|9:30-11:00|11:00-16:00|Not by 16:00|")=FIND("|"&amp;R334&amp;"|","|1-5 min|5-15 min|15-60 min|9:30-11:00|11:00-16:00|Not by 16:00|"),"Same window",IF(FIND("|"&amp;Q334&amp;"|","|1-5 min|5-15 min|15-60 min|9:30-11:00|11:00-16:00|Not by 16:00|")&lt;FIND("|"&amp;R334&amp;"|","|1-5 min|5-15 min|15-60 min|9:30-11:00|11:00-16:00|Not by 16:00|"),IF(E334="Up","High first (main side)",IF(E334="Down","High first (wick side)","High first")),IF(E334="Down","Low first (main side)",IF(E334="Up","Low first (wick side)","Low first"))))),"Check entries"))</f>
        <v/>
      </c>
      <c r="X334" s="28" t="n"/>
      <c r="Y334" s="27" t="n"/>
      <c r="Z334" s="27" t="n"/>
      <c r="AA334" s="27" t="n"/>
      <c r="AB334" s="27" t="n"/>
      <c r="AC334" s="27" t="n"/>
      <c r="AD334" s="27" t="n"/>
      <c r="AE334" s="28" t="n"/>
      <c r="AF334" s="30" t="n"/>
      <c r="AG334" s="27" t="n"/>
    </row>
    <row r="335">
      <c r="A335" s="25" t="n"/>
      <c r="B335" s="26">
        <f>IF(ISNUMBER(A335),TEXT(A335,"ddd"),"")</f>
        <v/>
      </c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8" t="n"/>
      <c r="M335" s="26">
        <f>IF(OR(L335="",AND(E335&lt;&gt;"Up",E335&lt;&gt;"Down")),"",IF(OR(L335="In line",L335="Mixed"),"Neutral data",IF(OR(AND(L335="Hotter",E335="Down"),AND(L335="Cooler",E335="Up")),"With data","Against data")))</f>
        <v/>
      </c>
      <c r="N335" s="28" t="n"/>
      <c r="O335" s="27" t="n"/>
      <c r="P335" s="27" t="n"/>
      <c r="Q335" s="28" t="n"/>
      <c r="R335" s="27" t="n"/>
      <c r="S335" s="29" t="n"/>
      <c r="T335" s="27" t="n"/>
      <c r="U335" s="27" t="n"/>
      <c r="V335" s="26">
        <f>IF(OR(AND(E335&lt;&gt;"Up",E335&lt;&gt;"Down"),NOT(ISNUMBER(S335)),IF(E335="Up",Q335,R335)=""),"",IF(S335&gt;=100,"Back to open",IF(OR(IF(E335="Up",Q335,R335)="1-5 min",IF(E335="Up",Q335,R335)="5-15 min"),"Continued",IF(S335&gt;=50,"Partial retrace","Stalled / chop"))))</f>
        <v/>
      </c>
      <c r="W335" s="26">
        <f>IF(OR(Q335="",R335=""),"",IFERROR(IF(AND(Q335="Not by 16:00",R335="Not by 16:00"),"Neither taken",IF(FIND("|"&amp;Q335&amp;"|","|1-5 min|5-15 min|15-60 min|9:30-11:00|11:00-16:00|Not by 16:00|")=FIND("|"&amp;R335&amp;"|","|1-5 min|5-15 min|15-60 min|9:30-11:00|11:00-16:00|Not by 16:00|"),"Same window",IF(FIND("|"&amp;Q335&amp;"|","|1-5 min|5-15 min|15-60 min|9:30-11:00|11:00-16:00|Not by 16:00|")&lt;FIND("|"&amp;R335&amp;"|","|1-5 min|5-15 min|15-60 min|9:30-11:00|11:00-16:00|Not by 16:00|"),IF(E335="Up","High first (main side)",IF(E335="Down","High first (wick side)","High first")),IF(E335="Down","Low first (main side)",IF(E335="Up","Low first (wick side)","Low first"))))),"Check entries"))</f>
        <v/>
      </c>
      <c r="X335" s="28" t="n"/>
      <c r="Y335" s="27" t="n"/>
      <c r="Z335" s="27" t="n"/>
      <c r="AA335" s="27" t="n"/>
      <c r="AB335" s="27" t="n"/>
      <c r="AC335" s="27" t="n"/>
      <c r="AD335" s="27" t="n"/>
      <c r="AE335" s="28" t="n"/>
      <c r="AF335" s="30" t="n"/>
      <c r="AG335" s="27" t="n"/>
    </row>
    <row r="336">
      <c r="A336" s="25" t="n"/>
      <c r="B336" s="26">
        <f>IF(ISNUMBER(A336),TEXT(A336,"ddd"),"")</f>
        <v/>
      </c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8" t="n"/>
      <c r="M336" s="26">
        <f>IF(OR(L336="",AND(E336&lt;&gt;"Up",E336&lt;&gt;"Down")),"",IF(OR(L336="In line",L336="Mixed"),"Neutral data",IF(OR(AND(L336="Hotter",E336="Down"),AND(L336="Cooler",E336="Up")),"With data","Against data")))</f>
        <v/>
      </c>
      <c r="N336" s="28" t="n"/>
      <c r="O336" s="27" t="n"/>
      <c r="P336" s="27" t="n"/>
      <c r="Q336" s="28" t="n"/>
      <c r="R336" s="27" t="n"/>
      <c r="S336" s="29" t="n"/>
      <c r="T336" s="27" t="n"/>
      <c r="U336" s="27" t="n"/>
      <c r="V336" s="26">
        <f>IF(OR(AND(E336&lt;&gt;"Up",E336&lt;&gt;"Down"),NOT(ISNUMBER(S336)),IF(E336="Up",Q336,R336)=""),"",IF(S336&gt;=100,"Back to open",IF(OR(IF(E336="Up",Q336,R336)="1-5 min",IF(E336="Up",Q336,R336)="5-15 min"),"Continued",IF(S336&gt;=50,"Partial retrace","Stalled / chop"))))</f>
        <v/>
      </c>
      <c r="W336" s="26">
        <f>IF(OR(Q336="",R336=""),"",IFERROR(IF(AND(Q336="Not by 16:00",R336="Not by 16:00"),"Neither taken",IF(FIND("|"&amp;Q336&amp;"|","|1-5 min|5-15 min|15-60 min|9:30-11:00|11:00-16:00|Not by 16:00|")=FIND("|"&amp;R336&amp;"|","|1-5 min|5-15 min|15-60 min|9:30-11:00|11:00-16:00|Not by 16:00|"),"Same window",IF(FIND("|"&amp;Q336&amp;"|","|1-5 min|5-15 min|15-60 min|9:30-11:00|11:00-16:00|Not by 16:00|")&lt;FIND("|"&amp;R336&amp;"|","|1-5 min|5-15 min|15-60 min|9:30-11:00|11:00-16:00|Not by 16:00|"),IF(E336="Up","High first (main side)",IF(E336="Down","High first (wick side)","High first")),IF(E336="Down","Low first (main side)",IF(E336="Up","Low first (wick side)","Low first"))))),"Check entries"))</f>
        <v/>
      </c>
      <c r="X336" s="28" t="n"/>
      <c r="Y336" s="27" t="n"/>
      <c r="Z336" s="27" t="n"/>
      <c r="AA336" s="27" t="n"/>
      <c r="AB336" s="27" t="n"/>
      <c r="AC336" s="27" t="n"/>
      <c r="AD336" s="27" t="n"/>
      <c r="AE336" s="28" t="n"/>
      <c r="AF336" s="30" t="n"/>
      <c r="AG336" s="27" t="n"/>
    </row>
    <row r="337">
      <c r="A337" s="25" t="n"/>
      <c r="B337" s="26">
        <f>IF(ISNUMBER(A337),TEXT(A337,"ddd"),"")</f>
        <v/>
      </c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8" t="n"/>
      <c r="M337" s="26">
        <f>IF(OR(L337="",AND(E337&lt;&gt;"Up",E337&lt;&gt;"Down")),"",IF(OR(L337="In line",L337="Mixed"),"Neutral data",IF(OR(AND(L337="Hotter",E337="Down"),AND(L337="Cooler",E337="Up")),"With data","Against data")))</f>
        <v/>
      </c>
      <c r="N337" s="28" t="n"/>
      <c r="O337" s="27" t="n"/>
      <c r="P337" s="27" t="n"/>
      <c r="Q337" s="28" t="n"/>
      <c r="R337" s="27" t="n"/>
      <c r="S337" s="29" t="n"/>
      <c r="T337" s="27" t="n"/>
      <c r="U337" s="27" t="n"/>
      <c r="V337" s="26">
        <f>IF(OR(AND(E337&lt;&gt;"Up",E337&lt;&gt;"Down"),NOT(ISNUMBER(S337)),IF(E337="Up",Q337,R337)=""),"",IF(S337&gt;=100,"Back to open",IF(OR(IF(E337="Up",Q337,R337)="1-5 min",IF(E337="Up",Q337,R337)="5-15 min"),"Continued",IF(S337&gt;=50,"Partial retrace","Stalled / chop"))))</f>
        <v/>
      </c>
      <c r="W337" s="26">
        <f>IF(OR(Q337="",R337=""),"",IFERROR(IF(AND(Q337="Not by 16:00",R337="Not by 16:00"),"Neither taken",IF(FIND("|"&amp;Q337&amp;"|","|1-5 min|5-15 min|15-60 min|9:30-11:00|11:00-16:00|Not by 16:00|")=FIND("|"&amp;R337&amp;"|","|1-5 min|5-15 min|15-60 min|9:30-11:00|11:00-16:00|Not by 16:00|"),"Same window",IF(FIND("|"&amp;Q337&amp;"|","|1-5 min|5-15 min|15-60 min|9:30-11:00|11:00-16:00|Not by 16:00|")&lt;FIND("|"&amp;R337&amp;"|","|1-5 min|5-15 min|15-60 min|9:30-11:00|11:00-16:00|Not by 16:00|"),IF(E337="Up","High first (main side)",IF(E337="Down","High first (wick side)","High first")),IF(E337="Down","Low first (main side)",IF(E337="Up","Low first (wick side)","Low first"))))),"Check entries"))</f>
        <v/>
      </c>
      <c r="X337" s="28" t="n"/>
      <c r="Y337" s="27" t="n"/>
      <c r="Z337" s="27" t="n"/>
      <c r="AA337" s="27" t="n"/>
      <c r="AB337" s="27" t="n"/>
      <c r="AC337" s="27" t="n"/>
      <c r="AD337" s="27" t="n"/>
      <c r="AE337" s="28" t="n"/>
      <c r="AF337" s="30" t="n"/>
      <c r="AG337" s="27" t="n"/>
    </row>
    <row r="338">
      <c r="A338" s="25" t="n"/>
      <c r="B338" s="26">
        <f>IF(ISNUMBER(A338),TEXT(A338,"ddd"),"")</f>
        <v/>
      </c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8" t="n"/>
      <c r="M338" s="26">
        <f>IF(OR(L338="",AND(E338&lt;&gt;"Up",E338&lt;&gt;"Down")),"",IF(OR(L338="In line",L338="Mixed"),"Neutral data",IF(OR(AND(L338="Hotter",E338="Down"),AND(L338="Cooler",E338="Up")),"With data","Against data")))</f>
        <v/>
      </c>
      <c r="N338" s="28" t="n"/>
      <c r="O338" s="27" t="n"/>
      <c r="P338" s="27" t="n"/>
      <c r="Q338" s="28" t="n"/>
      <c r="R338" s="27" t="n"/>
      <c r="S338" s="29" t="n"/>
      <c r="T338" s="27" t="n"/>
      <c r="U338" s="27" t="n"/>
      <c r="V338" s="26">
        <f>IF(OR(AND(E338&lt;&gt;"Up",E338&lt;&gt;"Down"),NOT(ISNUMBER(S338)),IF(E338="Up",Q338,R338)=""),"",IF(S338&gt;=100,"Back to open",IF(OR(IF(E338="Up",Q338,R338)="1-5 min",IF(E338="Up",Q338,R338)="5-15 min"),"Continued",IF(S338&gt;=50,"Partial retrace","Stalled / chop"))))</f>
        <v/>
      </c>
      <c r="W338" s="26">
        <f>IF(OR(Q338="",R338=""),"",IFERROR(IF(AND(Q338="Not by 16:00",R338="Not by 16:00"),"Neither taken",IF(FIND("|"&amp;Q338&amp;"|","|1-5 min|5-15 min|15-60 min|9:30-11:00|11:00-16:00|Not by 16:00|")=FIND("|"&amp;R338&amp;"|","|1-5 min|5-15 min|15-60 min|9:30-11:00|11:00-16:00|Not by 16:00|"),"Same window",IF(FIND("|"&amp;Q338&amp;"|","|1-5 min|5-15 min|15-60 min|9:30-11:00|11:00-16:00|Not by 16:00|")&lt;FIND("|"&amp;R338&amp;"|","|1-5 min|5-15 min|15-60 min|9:30-11:00|11:00-16:00|Not by 16:00|"),IF(E338="Up","High first (main side)",IF(E338="Down","High first (wick side)","High first")),IF(E338="Down","Low first (main side)",IF(E338="Up","Low first (wick side)","Low first"))))),"Check entries"))</f>
        <v/>
      </c>
      <c r="X338" s="28" t="n"/>
      <c r="Y338" s="27" t="n"/>
      <c r="Z338" s="27" t="n"/>
      <c r="AA338" s="27" t="n"/>
      <c r="AB338" s="27" t="n"/>
      <c r="AC338" s="27" t="n"/>
      <c r="AD338" s="27" t="n"/>
      <c r="AE338" s="28" t="n"/>
      <c r="AF338" s="30" t="n"/>
      <c r="AG338" s="27" t="n"/>
    </row>
    <row r="339">
      <c r="A339" s="25" t="n"/>
      <c r="B339" s="26">
        <f>IF(ISNUMBER(A339),TEXT(A339,"ddd"),"")</f>
        <v/>
      </c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8" t="n"/>
      <c r="M339" s="26">
        <f>IF(OR(L339="",AND(E339&lt;&gt;"Up",E339&lt;&gt;"Down")),"",IF(OR(L339="In line",L339="Mixed"),"Neutral data",IF(OR(AND(L339="Hotter",E339="Down"),AND(L339="Cooler",E339="Up")),"With data","Against data")))</f>
        <v/>
      </c>
      <c r="N339" s="28" t="n"/>
      <c r="O339" s="27" t="n"/>
      <c r="P339" s="27" t="n"/>
      <c r="Q339" s="28" t="n"/>
      <c r="R339" s="27" t="n"/>
      <c r="S339" s="29" t="n"/>
      <c r="T339" s="27" t="n"/>
      <c r="U339" s="27" t="n"/>
      <c r="V339" s="26">
        <f>IF(OR(AND(E339&lt;&gt;"Up",E339&lt;&gt;"Down"),NOT(ISNUMBER(S339)),IF(E339="Up",Q339,R339)=""),"",IF(S339&gt;=100,"Back to open",IF(OR(IF(E339="Up",Q339,R339)="1-5 min",IF(E339="Up",Q339,R339)="5-15 min"),"Continued",IF(S339&gt;=50,"Partial retrace","Stalled / chop"))))</f>
        <v/>
      </c>
      <c r="W339" s="26">
        <f>IF(OR(Q339="",R339=""),"",IFERROR(IF(AND(Q339="Not by 16:00",R339="Not by 16:00"),"Neither taken",IF(FIND("|"&amp;Q339&amp;"|","|1-5 min|5-15 min|15-60 min|9:30-11:00|11:00-16:00|Not by 16:00|")=FIND("|"&amp;R339&amp;"|","|1-5 min|5-15 min|15-60 min|9:30-11:00|11:00-16:00|Not by 16:00|"),"Same window",IF(FIND("|"&amp;Q339&amp;"|","|1-5 min|5-15 min|15-60 min|9:30-11:00|11:00-16:00|Not by 16:00|")&lt;FIND("|"&amp;R339&amp;"|","|1-5 min|5-15 min|15-60 min|9:30-11:00|11:00-16:00|Not by 16:00|"),IF(E339="Up","High first (main side)",IF(E339="Down","High first (wick side)","High first")),IF(E339="Down","Low first (main side)",IF(E339="Up","Low first (wick side)","Low first"))))),"Check entries"))</f>
        <v/>
      </c>
      <c r="X339" s="28" t="n"/>
      <c r="Y339" s="27" t="n"/>
      <c r="Z339" s="27" t="n"/>
      <c r="AA339" s="27" t="n"/>
      <c r="AB339" s="27" t="n"/>
      <c r="AC339" s="27" t="n"/>
      <c r="AD339" s="27" t="n"/>
      <c r="AE339" s="28" t="n"/>
      <c r="AF339" s="30" t="n"/>
      <c r="AG339" s="27" t="n"/>
    </row>
    <row r="340">
      <c r="A340" s="25" t="n"/>
      <c r="B340" s="26">
        <f>IF(ISNUMBER(A340),TEXT(A340,"ddd"),"")</f>
        <v/>
      </c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8" t="n"/>
      <c r="M340" s="26">
        <f>IF(OR(L340="",AND(E340&lt;&gt;"Up",E340&lt;&gt;"Down")),"",IF(OR(L340="In line",L340="Mixed"),"Neutral data",IF(OR(AND(L340="Hotter",E340="Down"),AND(L340="Cooler",E340="Up")),"With data","Against data")))</f>
        <v/>
      </c>
      <c r="N340" s="28" t="n"/>
      <c r="O340" s="27" t="n"/>
      <c r="P340" s="27" t="n"/>
      <c r="Q340" s="28" t="n"/>
      <c r="R340" s="27" t="n"/>
      <c r="S340" s="29" t="n"/>
      <c r="T340" s="27" t="n"/>
      <c r="U340" s="27" t="n"/>
      <c r="V340" s="26">
        <f>IF(OR(AND(E340&lt;&gt;"Up",E340&lt;&gt;"Down"),NOT(ISNUMBER(S340)),IF(E340="Up",Q340,R340)=""),"",IF(S340&gt;=100,"Back to open",IF(OR(IF(E340="Up",Q340,R340)="1-5 min",IF(E340="Up",Q340,R340)="5-15 min"),"Continued",IF(S340&gt;=50,"Partial retrace","Stalled / chop"))))</f>
        <v/>
      </c>
      <c r="W340" s="26">
        <f>IF(OR(Q340="",R340=""),"",IFERROR(IF(AND(Q340="Not by 16:00",R340="Not by 16:00"),"Neither taken",IF(FIND("|"&amp;Q340&amp;"|","|1-5 min|5-15 min|15-60 min|9:30-11:00|11:00-16:00|Not by 16:00|")=FIND("|"&amp;R340&amp;"|","|1-5 min|5-15 min|15-60 min|9:30-11:00|11:00-16:00|Not by 16:00|"),"Same window",IF(FIND("|"&amp;Q340&amp;"|","|1-5 min|5-15 min|15-60 min|9:30-11:00|11:00-16:00|Not by 16:00|")&lt;FIND("|"&amp;R340&amp;"|","|1-5 min|5-15 min|15-60 min|9:30-11:00|11:00-16:00|Not by 16:00|"),IF(E340="Up","High first (main side)",IF(E340="Down","High first (wick side)","High first")),IF(E340="Down","Low first (main side)",IF(E340="Up","Low first (wick side)","Low first"))))),"Check entries"))</f>
        <v/>
      </c>
      <c r="X340" s="28" t="n"/>
      <c r="Y340" s="27" t="n"/>
      <c r="Z340" s="27" t="n"/>
      <c r="AA340" s="27" t="n"/>
      <c r="AB340" s="27" t="n"/>
      <c r="AC340" s="27" t="n"/>
      <c r="AD340" s="27" t="n"/>
      <c r="AE340" s="28" t="n"/>
      <c r="AF340" s="30" t="n"/>
      <c r="AG340" s="27" t="n"/>
    </row>
    <row r="341">
      <c r="A341" s="25" t="n"/>
      <c r="B341" s="26">
        <f>IF(ISNUMBER(A341),TEXT(A341,"ddd"),"")</f>
        <v/>
      </c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8" t="n"/>
      <c r="M341" s="26">
        <f>IF(OR(L341="",AND(E341&lt;&gt;"Up",E341&lt;&gt;"Down")),"",IF(OR(L341="In line",L341="Mixed"),"Neutral data",IF(OR(AND(L341="Hotter",E341="Down"),AND(L341="Cooler",E341="Up")),"With data","Against data")))</f>
        <v/>
      </c>
      <c r="N341" s="28" t="n"/>
      <c r="O341" s="27" t="n"/>
      <c r="P341" s="27" t="n"/>
      <c r="Q341" s="28" t="n"/>
      <c r="R341" s="27" t="n"/>
      <c r="S341" s="29" t="n"/>
      <c r="T341" s="27" t="n"/>
      <c r="U341" s="27" t="n"/>
      <c r="V341" s="26">
        <f>IF(OR(AND(E341&lt;&gt;"Up",E341&lt;&gt;"Down"),NOT(ISNUMBER(S341)),IF(E341="Up",Q341,R341)=""),"",IF(S341&gt;=100,"Back to open",IF(OR(IF(E341="Up",Q341,R341)="1-5 min",IF(E341="Up",Q341,R341)="5-15 min"),"Continued",IF(S341&gt;=50,"Partial retrace","Stalled / chop"))))</f>
        <v/>
      </c>
      <c r="W341" s="26">
        <f>IF(OR(Q341="",R341=""),"",IFERROR(IF(AND(Q341="Not by 16:00",R341="Not by 16:00"),"Neither taken",IF(FIND("|"&amp;Q341&amp;"|","|1-5 min|5-15 min|15-60 min|9:30-11:00|11:00-16:00|Not by 16:00|")=FIND("|"&amp;R341&amp;"|","|1-5 min|5-15 min|15-60 min|9:30-11:00|11:00-16:00|Not by 16:00|"),"Same window",IF(FIND("|"&amp;Q341&amp;"|","|1-5 min|5-15 min|15-60 min|9:30-11:00|11:00-16:00|Not by 16:00|")&lt;FIND("|"&amp;R341&amp;"|","|1-5 min|5-15 min|15-60 min|9:30-11:00|11:00-16:00|Not by 16:00|"),IF(E341="Up","High first (main side)",IF(E341="Down","High first (wick side)","High first")),IF(E341="Down","Low first (main side)",IF(E341="Up","Low first (wick side)","Low first"))))),"Check entries"))</f>
        <v/>
      </c>
      <c r="X341" s="28" t="n"/>
      <c r="Y341" s="27" t="n"/>
      <c r="Z341" s="27" t="n"/>
      <c r="AA341" s="27" t="n"/>
      <c r="AB341" s="27" t="n"/>
      <c r="AC341" s="27" t="n"/>
      <c r="AD341" s="27" t="n"/>
      <c r="AE341" s="28" t="n"/>
      <c r="AF341" s="30" t="n"/>
      <c r="AG341" s="27" t="n"/>
    </row>
    <row r="342">
      <c r="A342" s="25" t="n"/>
      <c r="B342" s="26">
        <f>IF(ISNUMBER(A342),TEXT(A342,"ddd"),"")</f>
        <v/>
      </c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8" t="n"/>
      <c r="M342" s="26">
        <f>IF(OR(L342="",AND(E342&lt;&gt;"Up",E342&lt;&gt;"Down")),"",IF(OR(L342="In line",L342="Mixed"),"Neutral data",IF(OR(AND(L342="Hotter",E342="Down"),AND(L342="Cooler",E342="Up")),"With data","Against data")))</f>
        <v/>
      </c>
      <c r="N342" s="28" t="n"/>
      <c r="O342" s="27" t="n"/>
      <c r="P342" s="27" t="n"/>
      <c r="Q342" s="28" t="n"/>
      <c r="R342" s="27" t="n"/>
      <c r="S342" s="29" t="n"/>
      <c r="T342" s="27" t="n"/>
      <c r="U342" s="27" t="n"/>
      <c r="V342" s="26">
        <f>IF(OR(AND(E342&lt;&gt;"Up",E342&lt;&gt;"Down"),NOT(ISNUMBER(S342)),IF(E342="Up",Q342,R342)=""),"",IF(S342&gt;=100,"Back to open",IF(OR(IF(E342="Up",Q342,R342)="1-5 min",IF(E342="Up",Q342,R342)="5-15 min"),"Continued",IF(S342&gt;=50,"Partial retrace","Stalled / chop"))))</f>
        <v/>
      </c>
      <c r="W342" s="26">
        <f>IF(OR(Q342="",R342=""),"",IFERROR(IF(AND(Q342="Not by 16:00",R342="Not by 16:00"),"Neither taken",IF(FIND("|"&amp;Q342&amp;"|","|1-5 min|5-15 min|15-60 min|9:30-11:00|11:00-16:00|Not by 16:00|")=FIND("|"&amp;R342&amp;"|","|1-5 min|5-15 min|15-60 min|9:30-11:00|11:00-16:00|Not by 16:00|"),"Same window",IF(FIND("|"&amp;Q342&amp;"|","|1-5 min|5-15 min|15-60 min|9:30-11:00|11:00-16:00|Not by 16:00|")&lt;FIND("|"&amp;R342&amp;"|","|1-5 min|5-15 min|15-60 min|9:30-11:00|11:00-16:00|Not by 16:00|"),IF(E342="Up","High first (main side)",IF(E342="Down","High first (wick side)","High first")),IF(E342="Down","Low first (main side)",IF(E342="Up","Low first (wick side)","Low first"))))),"Check entries"))</f>
        <v/>
      </c>
      <c r="X342" s="28" t="n"/>
      <c r="Y342" s="27" t="n"/>
      <c r="Z342" s="27" t="n"/>
      <c r="AA342" s="27" t="n"/>
      <c r="AB342" s="27" t="n"/>
      <c r="AC342" s="27" t="n"/>
      <c r="AD342" s="27" t="n"/>
      <c r="AE342" s="28" t="n"/>
      <c r="AF342" s="30" t="n"/>
      <c r="AG342" s="27" t="n"/>
    </row>
    <row r="343">
      <c r="A343" s="25" t="n"/>
      <c r="B343" s="26">
        <f>IF(ISNUMBER(A343),TEXT(A343,"ddd"),"")</f>
        <v/>
      </c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8" t="n"/>
      <c r="M343" s="26">
        <f>IF(OR(L343="",AND(E343&lt;&gt;"Up",E343&lt;&gt;"Down")),"",IF(OR(L343="In line",L343="Mixed"),"Neutral data",IF(OR(AND(L343="Hotter",E343="Down"),AND(L343="Cooler",E343="Up")),"With data","Against data")))</f>
        <v/>
      </c>
      <c r="N343" s="28" t="n"/>
      <c r="O343" s="27" t="n"/>
      <c r="P343" s="27" t="n"/>
      <c r="Q343" s="28" t="n"/>
      <c r="R343" s="27" t="n"/>
      <c r="S343" s="29" t="n"/>
      <c r="T343" s="27" t="n"/>
      <c r="U343" s="27" t="n"/>
      <c r="V343" s="26">
        <f>IF(OR(AND(E343&lt;&gt;"Up",E343&lt;&gt;"Down"),NOT(ISNUMBER(S343)),IF(E343="Up",Q343,R343)=""),"",IF(S343&gt;=100,"Back to open",IF(OR(IF(E343="Up",Q343,R343)="1-5 min",IF(E343="Up",Q343,R343)="5-15 min"),"Continued",IF(S343&gt;=50,"Partial retrace","Stalled / chop"))))</f>
        <v/>
      </c>
      <c r="W343" s="26">
        <f>IF(OR(Q343="",R343=""),"",IFERROR(IF(AND(Q343="Not by 16:00",R343="Not by 16:00"),"Neither taken",IF(FIND("|"&amp;Q343&amp;"|","|1-5 min|5-15 min|15-60 min|9:30-11:00|11:00-16:00|Not by 16:00|")=FIND("|"&amp;R343&amp;"|","|1-5 min|5-15 min|15-60 min|9:30-11:00|11:00-16:00|Not by 16:00|"),"Same window",IF(FIND("|"&amp;Q343&amp;"|","|1-5 min|5-15 min|15-60 min|9:30-11:00|11:00-16:00|Not by 16:00|")&lt;FIND("|"&amp;R343&amp;"|","|1-5 min|5-15 min|15-60 min|9:30-11:00|11:00-16:00|Not by 16:00|"),IF(E343="Up","High first (main side)",IF(E343="Down","High first (wick side)","High first")),IF(E343="Down","Low first (main side)",IF(E343="Up","Low first (wick side)","Low first"))))),"Check entries"))</f>
        <v/>
      </c>
      <c r="X343" s="28" t="n"/>
      <c r="Y343" s="27" t="n"/>
      <c r="Z343" s="27" t="n"/>
      <c r="AA343" s="27" t="n"/>
      <c r="AB343" s="27" t="n"/>
      <c r="AC343" s="27" t="n"/>
      <c r="AD343" s="27" t="n"/>
      <c r="AE343" s="28" t="n"/>
      <c r="AF343" s="30" t="n"/>
      <c r="AG343" s="27" t="n"/>
    </row>
    <row r="344">
      <c r="A344" s="25" t="n"/>
      <c r="B344" s="26">
        <f>IF(ISNUMBER(A344),TEXT(A344,"ddd"),"")</f>
        <v/>
      </c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8" t="n"/>
      <c r="M344" s="26">
        <f>IF(OR(L344="",AND(E344&lt;&gt;"Up",E344&lt;&gt;"Down")),"",IF(OR(L344="In line",L344="Mixed"),"Neutral data",IF(OR(AND(L344="Hotter",E344="Down"),AND(L344="Cooler",E344="Up")),"With data","Against data")))</f>
        <v/>
      </c>
      <c r="N344" s="28" t="n"/>
      <c r="O344" s="27" t="n"/>
      <c r="P344" s="27" t="n"/>
      <c r="Q344" s="28" t="n"/>
      <c r="R344" s="27" t="n"/>
      <c r="S344" s="29" t="n"/>
      <c r="T344" s="27" t="n"/>
      <c r="U344" s="27" t="n"/>
      <c r="V344" s="26">
        <f>IF(OR(AND(E344&lt;&gt;"Up",E344&lt;&gt;"Down"),NOT(ISNUMBER(S344)),IF(E344="Up",Q344,R344)=""),"",IF(S344&gt;=100,"Back to open",IF(OR(IF(E344="Up",Q344,R344)="1-5 min",IF(E344="Up",Q344,R344)="5-15 min"),"Continued",IF(S344&gt;=50,"Partial retrace","Stalled / chop"))))</f>
        <v/>
      </c>
      <c r="W344" s="26">
        <f>IF(OR(Q344="",R344=""),"",IFERROR(IF(AND(Q344="Not by 16:00",R344="Not by 16:00"),"Neither taken",IF(FIND("|"&amp;Q344&amp;"|","|1-5 min|5-15 min|15-60 min|9:30-11:00|11:00-16:00|Not by 16:00|")=FIND("|"&amp;R344&amp;"|","|1-5 min|5-15 min|15-60 min|9:30-11:00|11:00-16:00|Not by 16:00|"),"Same window",IF(FIND("|"&amp;Q344&amp;"|","|1-5 min|5-15 min|15-60 min|9:30-11:00|11:00-16:00|Not by 16:00|")&lt;FIND("|"&amp;R344&amp;"|","|1-5 min|5-15 min|15-60 min|9:30-11:00|11:00-16:00|Not by 16:00|"),IF(E344="Up","High first (main side)",IF(E344="Down","High first (wick side)","High first")),IF(E344="Down","Low first (main side)",IF(E344="Up","Low first (wick side)","Low first"))))),"Check entries"))</f>
        <v/>
      </c>
      <c r="X344" s="28" t="n"/>
      <c r="Y344" s="27" t="n"/>
      <c r="Z344" s="27" t="n"/>
      <c r="AA344" s="27" t="n"/>
      <c r="AB344" s="27" t="n"/>
      <c r="AC344" s="27" t="n"/>
      <c r="AD344" s="27" t="n"/>
      <c r="AE344" s="28" t="n"/>
      <c r="AF344" s="30" t="n"/>
      <c r="AG344" s="27" t="n"/>
    </row>
    <row r="345">
      <c r="A345" s="25" t="n"/>
      <c r="B345" s="26">
        <f>IF(ISNUMBER(A345),TEXT(A345,"ddd"),"")</f>
        <v/>
      </c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8" t="n"/>
      <c r="M345" s="26">
        <f>IF(OR(L345="",AND(E345&lt;&gt;"Up",E345&lt;&gt;"Down")),"",IF(OR(L345="In line",L345="Mixed"),"Neutral data",IF(OR(AND(L345="Hotter",E345="Down"),AND(L345="Cooler",E345="Up")),"With data","Against data")))</f>
        <v/>
      </c>
      <c r="N345" s="28" t="n"/>
      <c r="O345" s="27" t="n"/>
      <c r="P345" s="27" t="n"/>
      <c r="Q345" s="28" t="n"/>
      <c r="R345" s="27" t="n"/>
      <c r="S345" s="29" t="n"/>
      <c r="T345" s="27" t="n"/>
      <c r="U345" s="27" t="n"/>
      <c r="V345" s="26">
        <f>IF(OR(AND(E345&lt;&gt;"Up",E345&lt;&gt;"Down"),NOT(ISNUMBER(S345)),IF(E345="Up",Q345,R345)=""),"",IF(S345&gt;=100,"Back to open",IF(OR(IF(E345="Up",Q345,R345)="1-5 min",IF(E345="Up",Q345,R345)="5-15 min"),"Continued",IF(S345&gt;=50,"Partial retrace","Stalled / chop"))))</f>
        <v/>
      </c>
      <c r="W345" s="26">
        <f>IF(OR(Q345="",R345=""),"",IFERROR(IF(AND(Q345="Not by 16:00",R345="Not by 16:00"),"Neither taken",IF(FIND("|"&amp;Q345&amp;"|","|1-5 min|5-15 min|15-60 min|9:30-11:00|11:00-16:00|Not by 16:00|")=FIND("|"&amp;R345&amp;"|","|1-5 min|5-15 min|15-60 min|9:30-11:00|11:00-16:00|Not by 16:00|"),"Same window",IF(FIND("|"&amp;Q345&amp;"|","|1-5 min|5-15 min|15-60 min|9:30-11:00|11:00-16:00|Not by 16:00|")&lt;FIND("|"&amp;R345&amp;"|","|1-5 min|5-15 min|15-60 min|9:30-11:00|11:00-16:00|Not by 16:00|"),IF(E345="Up","High first (main side)",IF(E345="Down","High first (wick side)","High first")),IF(E345="Down","Low first (main side)",IF(E345="Up","Low first (wick side)","Low first"))))),"Check entries"))</f>
        <v/>
      </c>
      <c r="X345" s="28" t="n"/>
      <c r="Y345" s="27" t="n"/>
      <c r="Z345" s="27" t="n"/>
      <c r="AA345" s="27" t="n"/>
      <c r="AB345" s="27" t="n"/>
      <c r="AC345" s="27" t="n"/>
      <c r="AD345" s="27" t="n"/>
      <c r="AE345" s="28" t="n"/>
      <c r="AF345" s="30" t="n"/>
      <c r="AG345" s="27" t="n"/>
    </row>
    <row r="346">
      <c r="A346" s="25" t="n"/>
      <c r="B346" s="26">
        <f>IF(ISNUMBER(A346),TEXT(A346,"ddd"),"")</f>
        <v/>
      </c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8" t="n"/>
      <c r="M346" s="26">
        <f>IF(OR(L346="",AND(E346&lt;&gt;"Up",E346&lt;&gt;"Down")),"",IF(OR(L346="In line",L346="Mixed"),"Neutral data",IF(OR(AND(L346="Hotter",E346="Down"),AND(L346="Cooler",E346="Up")),"With data","Against data")))</f>
        <v/>
      </c>
      <c r="N346" s="28" t="n"/>
      <c r="O346" s="27" t="n"/>
      <c r="P346" s="27" t="n"/>
      <c r="Q346" s="28" t="n"/>
      <c r="R346" s="27" t="n"/>
      <c r="S346" s="29" t="n"/>
      <c r="T346" s="27" t="n"/>
      <c r="U346" s="27" t="n"/>
      <c r="V346" s="26">
        <f>IF(OR(AND(E346&lt;&gt;"Up",E346&lt;&gt;"Down"),NOT(ISNUMBER(S346)),IF(E346="Up",Q346,R346)=""),"",IF(S346&gt;=100,"Back to open",IF(OR(IF(E346="Up",Q346,R346)="1-5 min",IF(E346="Up",Q346,R346)="5-15 min"),"Continued",IF(S346&gt;=50,"Partial retrace","Stalled / chop"))))</f>
        <v/>
      </c>
      <c r="W346" s="26">
        <f>IF(OR(Q346="",R346=""),"",IFERROR(IF(AND(Q346="Not by 16:00",R346="Not by 16:00"),"Neither taken",IF(FIND("|"&amp;Q346&amp;"|","|1-5 min|5-15 min|15-60 min|9:30-11:00|11:00-16:00|Not by 16:00|")=FIND("|"&amp;R346&amp;"|","|1-5 min|5-15 min|15-60 min|9:30-11:00|11:00-16:00|Not by 16:00|"),"Same window",IF(FIND("|"&amp;Q346&amp;"|","|1-5 min|5-15 min|15-60 min|9:30-11:00|11:00-16:00|Not by 16:00|")&lt;FIND("|"&amp;R346&amp;"|","|1-5 min|5-15 min|15-60 min|9:30-11:00|11:00-16:00|Not by 16:00|"),IF(E346="Up","High first (main side)",IF(E346="Down","High first (wick side)","High first")),IF(E346="Down","Low first (main side)",IF(E346="Up","Low first (wick side)","Low first"))))),"Check entries"))</f>
        <v/>
      </c>
      <c r="X346" s="28" t="n"/>
      <c r="Y346" s="27" t="n"/>
      <c r="Z346" s="27" t="n"/>
      <c r="AA346" s="27" t="n"/>
      <c r="AB346" s="27" t="n"/>
      <c r="AC346" s="27" t="n"/>
      <c r="AD346" s="27" t="n"/>
      <c r="AE346" s="28" t="n"/>
      <c r="AF346" s="30" t="n"/>
      <c r="AG346" s="27" t="n"/>
    </row>
    <row r="347">
      <c r="A347" s="25" t="n"/>
      <c r="B347" s="26">
        <f>IF(ISNUMBER(A347),TEXT(A347,"ddd"),"")</f>
        <v/>
      </c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8" t="n"/>
      <c r="M347" s="26">
        <f>IF(OR(L347="",AND(E347&lt;&gt;"Up",E347&lt;&gt;"Down")),"",IF(OR(L347="In line",L347="Mixed"),"Neutral data",IF(OR(AND(L347="Hotter",E347="Down"),AND(L347="Cooler",E347="Up")),"With data","Against data")))</f>
        <v/>
      </c>
      <c r="N347" s="28" t="n"/>
      <c r="O347" s="27" t="n"/>
      <c r="P347" s="27" t="n"/>
      <c r="Q347" s="28" t="n"/>
      <c r="R347" s="27" t="n"/>
      <c r="S347" s="29" t="n"/>
      <c r="T347" s="27" t="n"/>
      <c r="U347" s="27" t="n"/>
      <c r="V347" s="26">
        <f>IF(OR(AND(E347&lt;&gt;"Up",E347&lt;&gt;"Down"),NOT(ISNUMBER(S347)),IF(E347="Up",Q347,R347)=""),"",IF(S347&gt;=100,"Back to open",IF(OR(IF(E347="Up",Q347,R347)="1-5 min",IF(E347="Up",Q347,R347)="5-15 min"),"Continued",IF(S347&gt;=50,"Partial retrace","Stalled / chop"))))</f>
        <v/>
      </c>
      <c r="W347" s="26">
        <f>IF(OR(Q347="",R347=""),"",IFERROR(IF(AND(Q347="Not by 16:00",R347="Not by 16:00"),"Neither taken",IF(FIND("|"&amp;Q347&amp;"|","|1-5 min|5-15 min|15-60 min|9:30-11:00|11:00-16:00|Not by 16:00|")=FIND("|"&amp;R347&amp;"|","|1-5 min|5-15 min|15-60 min|9:30-11:00|11:00-16:00|Not by 16:00|"),"Same window",IF(FIND("|"&amp;Q347&amp;"|","|1-5 min|5-15 min|15-60 min|9:30-11:00|11:00-16:00|Not by 16:00|")&lt;FIND("|"&amp;R347&amp;"|","|1-5 min|5-15 min|15-60 min|9:30-11:00|11:00-16:00|Not by 16:00|"),IF(E347="Up","High first (main side)",IF(E347="Down","High first (wick side)","High first")),IF(E347="Down","Low first (main side)",IF(E347="Up","Low first (wick side)","Low first"))))),"Check entries"))</f>
        <v/>
      </c>
      <c r="X347" s="28" t="n"/>
      <c r="Y347" s="27" t="n"/>
      <c r="Z347" s="27" t="n"/>
      <c r="AA347" s="27" t="n"/>
      <c r="AB347" s="27" t="n"/>
      <c r="AC347" s="27" t="n"/>
      <c r="AD347" s="27" t="n"/>
      <c r="AE347" s="28" t="n"/>
      <c r="AF347" s="30" t="n"/>
      <c r="AG347" s="27" t="n"/>
    </row>
    <row r="348">
      <c r="A348" s="25" t="n"/>
      <c r="B348" s="26">
        <f>IF(ISNUMBER(A348),TEXT(A348,"ddd"),"")</f>
        <v/>
      </c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8" t="n"/>
      <c r="M348" s="26">
        <f>IF(OR(L348="",AND(E348&lt;&gt;"Up",E348&lt;&gt;"Down")),"",IF(OR(L348="In line",L348="Mixed"),"Neutral data",IF(OR(AND(L348="Hotter",E348="Down"),AND(L348="Cooler",E348="Up")),"With data","Against data")))</f>
        <v/>
      </c>
      <c r="N348" s="28" t="n"/>
      <c r="O348" s="27" t="n"/>
      <c r="P348" s="27" t="n"/>
      <c r="Q348" s="28" t="n"/>
      <c r="R348" s="27" t="n"/>
      <c r="S348" s="29" t="n"/>
      <c r="T348" s="27" t="n"/>
      <c r="U348" s="27" t="n"/>
      <c r="V348" s="26">
        <f>IF(OR(AND(E348&lt;&gt;"Up",E348&lt;&gt;"Down"),NOT(ISNUMBER(S348)),IF(E348="Up",Q348,R348)=""),"",IF(S348&gt;=100,"Back to open",IF(OR(IF(E348="Up",Q348,R348)="1-5 min",IF(E348="Up",Q348,R348)="5-15 min"),"Continued",IF(S348&gt;=50,"Partial retrace","Stalled / chop"))))</f>
        <v/>
      </c>
      <c r="W348" s="26">
        <f>IF(OR(Q348="",R348=""),"",IFERROR(IF(AND(Q348="Not by 16:00",R348="Not by 16:00"),"Neither taken",IF(FIND("|"&amp;Q348&amp;"|","|1-5 min|5-15 min|15-60 min|9:30-11:00|11:00-16:00|Not by 16:00|")=FIND("|"&amp;R348&amp;"|","|1-5 min|5-15 min|15-60 min|9:30-11:00|11:00-16:00|Not by 16:00|"),"Same window",IF(FIND("|"&amp;Q348&amp;"|","|1-5 min|5-15 min|15-60 min|9:30-11:00|11:00-16:00|Not by 16:00|")&lt;FIND("|"&amp;R348&amp;"|","|1-5 min|5-15 min|15-60 min|9:30-11:00|11:00-16:00|Not by 16:00|"),IF(E348="Up","High first (main side)",IF(E348="Down","High first (wick side)","High first")),IF(E348="Down","Low first (main side)",IF(E348="Up","Low first (wick side)","Low first"))))),"Check entries"))</f>
        <v/>
      </c>
      <c r="X348" s="28" t="n"/>
      <c r="Y348" s="27" t="n"/>
      <c r="Z348" s="27" t="n"/>
      <c r="AA348" s="27" t="n"/>
      <c r="AB348" s="27" t="n"/>
      <c r="AC348" s="27" t="n"/>
      <c r="AD348" s="27" t="n"/>
      <c r="AE348" s="28" t="n"/>
      <c r="AF348" s="30" t="n"/>
      <c r="AG348" s="27" t="n"/>
    </row>
    <row r="349">
      <c r="A349" s="25" t="n"/>
      <c r="B349" s="26">
        <f>IF(ISNUMBER(A349),TEXT(A349,"ddd"),"")</f>
        <v/>
      </c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8" t="n"/>
      <c r="M349" s="26">
        <f>IF(OR(L349="",AND(E349&lt;&gt;"Up",E349&lt;&gt;"Down")),"",IF(OR(L349="In line",L349="Mixed"),"Neutral data",IF(OR(AND(L349="Hotter",E349="Down"),AND(L349="Cooler",E349="Up")),"With data","Against data")))</f>
        <v/>
      </c>
      <c r="N349" s="28" t="n"/>
      <c r="O349" s="27" t="n"/>
      <c r="P349" s="27" t="n"/>
      <c r="Q349" s="28" t="n"/>
      <c r="R349" s="27" t="n"/>
      <c r="S349" s="29" t="n"/>
      <c r="T349" s="27" t="n"/>
      <c r="U349" s="27" t="n"/>
      <c r="V349" s="26">
        <f>IF(OR(AND(E349&lt;&gt;"Up",E349&lt;&gt;"Down"),NOT(ISNUMBER(S349)),IF(E349="Up",Q349,R349)=""),"",IF(S349&gt;=100,"Back to open",IF(OR(IF(E349="Up",Q349,R349)="1-5 min",IF(E349="Up",Q349,R349)="5-15 min"),"Continued",IF(S349&gt;=50,"Partial retrace","Stalled / chop"))))</f>
        <v/>
      </c>
      <c r="W349" s="26">
        <f>IF(OR(Q349="",R349=""),"",IFERROR(IF(AND(Q349="Not by 16:00",R349="Not by 16:00"),"Neither taken",IF(FIND("|"&amp;Q349&amp;"|","|1-5 min|5-15 min|15-60 min|9:30-11:00|11:00-16:00|Not by 16:00|")=FIND("|"&amp;R349&amp;"|","|1-5 min|5-15 min|15-60 min|9:30-11:00|11:00-16:00|Not by 16:00|"),"Same window",IF(FIND("|"&amp;Q349&amp;"|","|1-5 min|5-15 min|15-60 min|9:30-11:00|11:00-16:00|Not by 16:00|")&lt;FIND("|"&amp;R349&amp;"|","|1-5 min|5-15 min|15-60 min|9:30-11:00|11:00-16:00|Not by 16:00|"),IF(E349="Up","High first (main side)",IF(E349="Down","High first (wick side)","High first")),IF(E349="Down","Low first (main side)",IF(E349="Up","Low first (wick side)","Low first"))))),"Check entries"))</f>
        <v/>
      </c>
      <c r="X349" s="28" t="n"/>
      <c r="Y349" s="27" t="n"/>
      <c r="Z349" s="27" t="n"/>
      <c r="AA349" s="27" t="n"/>
      <c r="AB349" s="27" t="n"/>
      <c r="AC349" s="27" t="n"/>
      <c r="AD349" s="27" t="n"/>
      <c r="AE349" s="28" t="n"/>
      <c r="AF349" s="30" t="n"/>
      <c r="AG349" s="27" t="n"/>
    </row>
    <row r="350">
      <c r="A350" s="25" t="n"/>
      <c r="B350" s="26">
        <f>IF(ISNUMBER(A350),TEXT(A350,"ddd"),"")</f>
        <v/>
      </c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8" t="n"/>
      <c r="M350" s="26">
        <f>IF(OR(L350="",AND(E350&lt;&gt;"Up",E350&lt;&gt;"Down")),"",IF(OR(L350="In line",L350="Mixed"),"Neutral data",IF(OR(AND(L350="Hotter",E350="Down"),AND(L350="Cooler",E350="Up")),"With data","Against data")))</f>
        <v/>
      </c>
      <c r="N350" s="28" t="n"/>
      <c r="O350" s="27" t="n"/>
      <c r="P350" s="27" t="n"/>
      <c r="Q350" s="28" t="n"/>
      <c r="R350" s="27" t="n"/>
      <c r="S350" s="29" t="n"/>
      <c r="T350" s="27" t="n"/>
      <c r="U350" s="27" t="n"/>
      <c r="V350" s="26">
        <f>IF(OR(AND(E350&lt;&gt;"Up",E350&lt;&gt;"Down"),NOT(ISNUMBER(S350)),IF(E350="Up",Q350,R350)=""),"",IF(S350&gt;=100,"Back to open",IF(OR(IF(E350="Up",Q350,R350)="1-5 min",IF(E350="Up",Q350,R350)="5-15 min"),"Continued",IF(S350&gt;=50,"Partial retrace","Stalled / chop"))))</f>
        <v/>
      </c>
      <c r="W350" s="26">
        <f>IF(OR(Q350="",R350=""),"",IFERROR(IF(AND(Q350="Not by 16:00",R350="Not by 16:00"),"Neither taken",IF(FIND("|"&amp;Q350&amp;"|","|1-5 min|5-15 min|15-60 min|9:30-11:00|11:00-16:00|Not by 16:00|")=FIND("|"&amp;R350&amp;"|","|1-5 min|5-15 min|15-60 min|9:30-11:00|11:00-16:00|Not by 16:00|"),"Same window",IF(FIND("|"&amp;Q350&amp;"|","|1-5 min|5-15 min|15-60 min|9:30-11:00|11:00-16:00|Not by 16:00|")&lt;FIND("|"&amp;R350&amp;"|","|1-5 min|5-15 min|15-60 min|9:30-11:00|11:00-16:00|Not by 16:00|"),IF(E350="Up","High first (main side)",IF(E350="Down","High first (wick side)","High first")),IF(E350="Down","Low first (main side)",IF(E350="Up","Low first (wick side)","Low first"))))),"Check entries"))</f>
        <v/>
      </c>
      <c r="X350" s="28" t="n"/>
      <c r="Y350" s="27" t="n"/>
      <c r="Z350" s="27" t="n"/>
      <c r="AA350" s="27" t="n"/>
      <c r="AB350" s="27" t="n"/>
      <c r="AC350" s="27" t="n"/>
      <c r="AD350" s="27" t="n"/>
      <c r="AE350" s="28" t="n"/>
      <c r="AF350" s="30" t="n"/>
      <c r="AG350" s="27" t="n"/>
    </row>
    <row r="351">
      <c r="A351" s="25" t="n"/>
      <c r="B351" s="26">
        <f>IF(ISNUMBER(A351),TEXT(A351,"ddd"),"")</f>
        <v/>
      </c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8" t="n"/>
      <c r="M351" s="26">
        <f>IF(OR(L351="",AND(E351&lt;&gt;"Up",E351&lt;&gt;"Down")),"",IF(OR(L351="In line",L351="Mixed"),"Neutral data",IF(OR(AND(L351="Hotter",E351="Down"),AND(L351="Cooler",E351="Up")),"With data","Against data")))</f>
        <v/>
      </c>
      <c r="N351" s="28" t="n"/>
      <c r="O351" s="27" t="n"/>
      <c r="P351" s="27" t="n"/>
      <c r="Q351" s="28" t="n"/>
      <c r="R351" s="27" t="n"/>
      <c r="S351" s="29" t="n"/>
      <c r="T351" s="27" t="n"/>
      <c r="U351" s="27" t="n"/>
      <c r="V351" s="26">
        <f>IF(OR(AND(E351&lt;&gt;"Up",E351&lt;&gt;"Down"),NOT(ISNUMBER(S351)),IF(E351="Up",Q351,R351)=""),"",IF(S351&gt;=100,"Back to open",IF(OR(IF(E351="Up",Q351,R351)="1-5 min",IF(E351="Up",Q351,R351)="5-15 min"),"Continued",IF(S351&gt;=50,"Partial retrace","Stalled / chop"))))</f>
        <v/>
      </c>
      <c r="W351" s="26">
        <f>IF(OR(Q351="",R351=""),"",IFERROR(IF(AND(Q351="Not by 16:00",R351="Not by 16:00"),"Neither taken",IF(FIND("|"&amp;Q351&amp;"|","|1-5 min|5-15 min|15-60 min|9:30-11:00|11:00-16:00|Not by 16:00|")=FIND("|"&amp;R351&amp;"|","|1-5 min|5-15 min|15-60 min|9:30-11:00|11:00-16:00|Not by 16:00|"),"Same window",IF(FIND("|"&amp;Q351&amp;"|","|1-5 min|5-15 min|15-60 min|9:30-11:00|11:00-16:00|Not by 16:00|")&lt;FIND("|"&amp;R351&amp;"|","|1-5 min|5-15 min|15-60 min|9:30-11:00|11:00-16:00|Not by 16:00|"),IF(E351="Up","High first (main side)",IF(E351="Down","High first (wick side)","High first")),IF(E351="Down","Low first (main side)",IF(E351="Up","Low first (wick side)","Low first"))))),"Check entries"))</f>
        <v/>
      </c>
      <c r="X351" s="28" t="n"/>
      <c r="Y351" s="27" t="n"/>
      <c r="Z351" s="27" t="n"/>
      <c r="AA351" s="27" t="n"/>
      <c r="AB351" s="27" t="n"/>
      <c r="AC351" s="27" t="n"/>
      <c r="AD351" s="27" t="n"/>
      <c r="AE351" s="28" t="n"/>
      <c r="AF351" s="30" t="n"/>
      <c r="AG351" s="27" t="n"/>
    </row>
    <row r="352">
      <c r="A352" s="25" t="n"/>
      <c r="B352" s="26">
        <f>IF(ISNUMBER(A352),TEXT(A352,"ddd"),"")</f>
        <v/>
      </c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8" t="n"/>
      <c r="M352" s="26">
        <f>IF(OR(L352="",AND(E352&lt;&gt;"Up",E352&lt;&gt;"Down")),"",IF(OR(L352="In line",L352="Mixed"),"Neutral data",IF(OR(AND(L352="Hotter",E352="Down"),AND(L352="Cooler",E352="Up")),"With data","Against data")))</f>
        <v/>
      </c>
      <c r="N352" s="28" t="n"/>
      <c r="O352" s="27" t="n"/>
      <c r="P352" s="27" t="n"/>
      <c r="Q352" s="28" t="n"/>
      <c r="R352" s="27" t="n"/>
      <c r="S352" s="29" t="n"/>
      <c r="T352" s="27" t="n"/>
      <c r="U352" s="27" t="n"/>
      <c r="V352" s="26">
        <f>IF(OR(AND(E352&lt;&gt;"Up",E352&lt;&gt;"Down"),NOT(ISNUMBER(S352)),IF(E352="Up",Q352,R352)=""),"",IF(S352&gt;=100,"Back to open",IF(OR(IF(E352="Up",Q352,R352)="1-5 min",IF(E352="Up",Q352,R352)="5-15 min"),"Continued",IF(S352&gt;=50,"Partial retrace","Stalled / chop"))))</f>
        <v/>
      </c>
      <c r="W352" s="26">
        <f>IF(OR(Q352="",R352=""),"",IFERROR(IF(AND(Q352="Not by 16:00",R352="Not by 16:00"),"Neither taken",IF(FIND("|"&amp;Q352&amp;"|","|1-5 min|5-15 min|15-60 min|9:30-11:00|11:00-16:00|Not by 16:00|")=FIND("|"&amp;R352&amp;"|","|1-5 min|5-15 min|15-60 min|9:30-11:00|11:00-16:00|Not by 16:00|"),"Same window",IF(FIND("|"&amp;Q352&amp;"|","|1-5 min|5-15 min|15-60 min|9:30-11:00|11:00-16:00|Not by 16:00|")&lt;FIND("|"&amp;R352&amp;"|","|1-5 min|5-15 min|15-60 min|9:30-11:00|11:00-16:00|Not by 16:00|"),IF(E352="Up","High first (main side)",IF(E352="Down","High first (wick side)","High first")),IF(E352="Down","Low first (main side)",IF(E352="Up","Low first (wick side)","Low first"))))),"Check entries"))</f>
        <v/>
      </c>
      <c r="X352" s="28" t="n"/>
      <c r="Y352" s="27" t="n"/>
      <c r="Z352" s="27" t="n"/>
      <c r="AA352" s="27" t="n"/>
      <c r="AB352" s="27" t="n"/>
      <c r="AC352" s="27" t="n"/>
      <c r="AD352" s="27" t="n"/>
      <c r="AE352" s="28" t="n"/>
      <c r="AF352" s="30" t="n"/>
      <c r="AG352" s="27" t="n"/>
    </row>
    <row r="353">
      <c r="A353" s="25" t="n"/>
      <c r="B353" s="26">
        <f>IF(ISNUMBER(A353),TEXT(A353,"ddd"),"")</f>
        <v/>
      </c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8" t="n"/>
      <c r="M353" s="26">
        <f>IF(OR(L353="",AND(E353&lt;&gt;"Up",E353&lt;&gt;"Down")),"",IF(OR(L353="In line",L353="Mixed"),"Neutral data",IF(OR(AND(L353="Hotter",E353="Down"),AND(L353="Cooler",E353="Up")),"With data","Against data")))</f>
        <v/>
      </c>
      <c r="N353" s="28" t="n"/>
      <c r="O353" s="27" t="n"/>
      <c r="P353" s="27" t="n"/>
      <c r="Q353" s="28" t="n"/>
      <c r="R353" s="27" t="n"/>
      <c r="S353" s="29" t="n"/>
      <c r="T353" s="27" t="n"/>
      <c r="U353" s="27" t="n"/>
      <c r="V353" s="26">
        <f>IF(OR(AND(E353&lt;&gt;"Up",E353&lt;&gt;"Down"),NOT(ISNUMBER(S353)),IF(E353="Up",Q353,R353)=""),"",IF(S353&gt;=100,"Back to open",IF(OR(IF(E353="Up",Q353,R353)="1-5 min",IF(E353="Up",Q353,R353)="5-15 min"),"Continued",IF(S353&gt;=50,"Partial retrace","Stalled / chop"))))</f>
        <v/>
      </c>
      <c r="W353" s="26">
        <f>IF(OR(Q353="",R353=""),"",IFERROR(IF(AND(Q353="Not by 16:00",R353="Not by 16:00"),"Neither taken",IF(FIND("|"&amp;Q353&amp;"|","|1-5 min|5-15 min|15-60 min|9:30-11:00|11:00-16:00|Not by 16:00|")=FIND("|"&amp;R353&amp;"|","|1-5 min|5-15 min|15-60 min|9:30-11:00|11:00-16:00|Not by 16:00|"),"Same window",IF(FIND("|"&amp;Q353&amp;"|","|1-5 min|5-15 min|15-60 min|9:30-11:00|11:00-16:00|Not by 16:00|")&lt;FIND("|"&amp;R353&amp;"|","|1-5 min|5-15 min|15-60 min|9:30-11:00|11:00-16:00|Not by 16:00|"),IF(E353="Up","High first (main side)",IF(E353="Down","High first (wick side)","High first")),IF(E353="Down","Low first (main side)",IF(E353="Up","Low first (wick side)","Low first"))))),"Check entries"))</f>
        <v/>
      </c>
      <c r="X353" s="28" t="n"/>
      <c r="Y353" s="27" t="n"/>
      <c r="Z353" s="27" t="n"/>
      <c r="AA353" s="27" t="n"/>
      <c r="AB353" s="27" t="n"/>
      <c r="AC353" s="27" t="n"/>
      <c r="AD353" s="27" t="n"/>
      <c r="AE353" s="28" t="n"/>
      <c r="AF353" s="30" t="n"/>
      <c r="AG353" s="27" t="n"/>
    </row>
    <row r="354">
      <c r="A354" s="25" t="n"/>
      <c r="B354" s="26">
        <f>IF(ISNUMBER(A354),TEXT(A354,"ddd"),"")</f>
        <v/>
      </c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8" t="n"/>
      <c r="M354" s="26">
        <f>IF(OR(L354="",AND(E354&lt;&gt;"Up",E354&lt;&gt;"Down")),"",IF(OR(L354="In line",L354="Mixed"),"Neutral data",IF(OR(AND(L354="Hotter",E354="Down"),AND(L354="Cooler",E354="Up")),"With data","Against data")))</f>
        <v/>
      </c>
      <c r="N354" s="28" t="n"/>
      <c r="O354" s="27" t="n"/>
      <c r="P354" s="27" t="n"/>
      <c r="Q354" s="28" t="n"/>
      <c r="R354" s="27" t="n"/>
      <c r="S354" s="29" t="n"/>
      <c r="T354" s="27" t="n"/>
      <c r="U354" s="27" t="n"/>
      <c r="V354" s="26">
        <f>IF(OR(AND(E354&lt;&gt;"Up",E354&lt;&gt;"Down"),NOT(ISNUMBER(S354)),IF(E354="Up",Q354,R354)=""),"",IF(S354&gt;=100,"Back to open",IF(OR(IF(E354="Up",Q354,R354)="1-5 min",IF(E354="Up",Q354,R354)="5-15 min"),"Continued",IF(S354&gt;=50,"Partial retrace","Stalled / chop"))))</f>
        <v/>
      </c>
      <c r="W354" s="26">
        <f>IF(OR(Q354="",R354=""),"",IFERROR(IF(AND(Q354="Not by 16:00",R354="Not by 16:00"),"Neither taken",IF(FIND("|"&amp;Q354&amp;"|","|1-5 min|5-15 min|15-60 min|9:30-11:00|11:00-16:00|Not by 16:00|")=FIND("|"&amp;R354&amp;"|","|1-5 min|5-15 min|15-60 min|9:30-11:00|11:00-16:00|Not by 16:00|"),"Same window",IF(FIND("|"&amp;Q354&amp;"|","|1-5 min|5-15 min|15-60 min|9:30-11:00|11:00-16:00|Not by 16:00|")&lt;FIND("|"&amp;R354&amp;"|","|1-5 min|5-15 min|15-60 min|9:30-11:00|11:00-16:00|Not by 16:00|"),IF(E354="Up","High first (main side)",IF(E354="Down","High first (wick side)","High first")),IF(E354="Down","Low first (main side)",IF(E354="Up","Low first (wick side)","Low first"))))),"Check entries"))</f>
        <v/>
      </c>
      <c r="X354" s="28" t="n"/>
      <c r="Y354" s="27" t="n"/>
      <c r="Z354" s="27" t="n"/>
      <c r="AA354" s="27" t="n"/>
      <c r="AB354" s="27" t="n"/>
      <c r="AC354" s="27" t="n"/>
      <c r="AD354" s="27" t="n"/>
      <c r="AE354" s="28" t="n"/>
      <c r="AF354" s="30" t="n"/>
      <c r="AG354" s="27" t="n"/>
    </row>
    <row r="355">
      <c r="A355" s="25" t="n"/>
      <c r="B355" s="26">
        <f>IF(ISNUMBER(A355),TEXT(A355,"ddd"),"")</f>
        <v/>
      </c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8" t="n"/>
      <c r="M355" s="26">
        <f>IF(OR(L355="",AND(E355&lt;&gt;"Up",E355&lt;&gt;"Down")),"",IF(OR(L355="In line",L355="Mixed"),"Neutral data",IF(OR(AND(L355="Hotter",E355="Down"),AND(L355="Cooler",E355="Up")),"With data","Against data")))</f>
        <v/>
      </c>
      <c r="N355" s="28" t="n"/>
      <c r="O355" s="27" t="n"/>
      <c r="P355" s="27" t="n"/>
      <c r="Q355" s="28" t="n"/>
      <c r="R355" s="27" t="n"/>
      <c r="S355" s="29" t="n"/>
      <c r="T355" s="27" t="n"/>
      <c r="U355" s="27" t="n"/>
      <c r="V355" s="26">
        <f>IF(OR(AND(E355&lt;&gt;"Up",E355&lt;&gt;"Down"),NOT(ISNUMBER(S355)),IF(E355="Up",Q355,R355)=""),"",IF(S355&gt;=100,"Back to open",IF(OR(IF(E355="Up",Q355,R355)="1-5 min",IF(E355="Up",Q355,R355)="5-15 min"),"Continued",IF(S355&gt;=50,"Partial retrace","Stalled / chop"))))</f>
        <v/>
      </c>
      <c r="W355" s="26">
        <f>IF(OR(Q355="",R355=""),"",IFERROR(IF(AND(Q355="Not by 16:00",R355="Not by 16:00"),"Neither taken",IF(FIND("|"&amp;Q355&amp;"|","|1-5 min|5-15 min|15-60 min|9:30-11:00|11:00-16:00|Not by 16:00|")=FIND("|"&amp;R355&amp;"|","|1-5 min|5-15 min|15-60 min|9:30-11:00|11:00-16:00|Not by 16:00|"),"Same window",IF(FIND("|"&amp;Q355&amp;"|","|1-5 min|5-15 min|15-60 min|9:30-11:00|11:00-16:00|Not by 16:00|")&lt;FIND("|"&amp;R355&amp;"|","|1-5 min|5-15 min|15-60 min|9:30-11:00|11:00-16:00|Not by 16:00|"),IF(E355="Up","High first (main side)",IF(E355="Down","High first (wick side)","High first")),IF(E355="Down","Low first (main side)",IF(E355="Up","Low first (wick side)","Low first"))))),"Check entries"))</f>
        <v/>
      </c>
      <c r="X355" s="28" t="n"/>
      <c r="Y355" s="27" t="n"/>
      <c r="Z355" s="27" t="n"/>
      <c r="AA355" s="27" t="n"/>
      <c r="AB355" s="27" t="n"/>
      <c r="AC355" s="27" t="n"/>
      <c r="AD355" s="27" t="n"/>
      <c r="AE355" s="28" t="n"/>
      <c r="AF355" s="30" t="n"/>
      <c r="AG355" s="27" t="n"/>
    </row>
    <row r="356">
      <c r="A356" s="25" t="n"/>
      <c r="B356" s="26">
        <f>IF(ISNUMBER(A356),TEXT(A356,"ddd"),"")</f>
        <v/>
      </c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8" t="n"/>
      <c r="M356" s="26">
        <f>IF(OR(L356="",AND(E356&lt;&gt;"Up",E356&lt;&gt;"Down")),"",IF(OR(L356="In line",L356="Mixed"),"Neutral data",IF(OR(AND(L356="Hotter",E356="Down"),AND(L356="Cooler",E356="Up")),"With data","Against data")))</f>
        <v/>
      </c>
      <c r="N356" s="28" t="n"/>
      <c r="O356" s="27" t="n"/>
      <c r="P356" s="27" t="n"/>
      <c r="Q356" s="28" t="n"/>
      <c r="R356" s="27" t="n"/>
      <c r="S356" s="29" t="n"/>
      <c r="T356" s="27" t="n"/>
      <c r="U356" s="27" t="n"/>
      <c r="V356" s="26">
        <f>IF(OR(AND(E356&lt;&gt;"Up",E356&lt;&gt;"Down"),NOT(ISNUMBER(S356)),IF(E356="Up",Q356,R356)=""),"",IF(S356&gt;=100,"Back to open",IF(OR(IF(E356="Up",Q356,R356)="1-5 min",IF(E356="Up",Q356,R356)="5-15 min"),"Continued",IF(S356&gt;=50,"Partial retrace","Stalled / chop"))))</f>
        <v/>
      </c>
      <c r="W356" s="26">
        <f>IF(OR(Q356="",R356=""),"",IFERROR(IF(AND(Q356="Not by 16:00",R356="Not by 16:00"),"Neither taken",IF(FIND("|"&amp;Q356&amp;"|","|1-5 min|5-15 min|15-60 min|9:30-11:00|11:00-16:00|Not by 16:00|")=FIND("|"&amp;R356&amp;"|","|1-5 min|5-15 min|15-60 min|9:30-11:00|11:00-16:00|Not by 16:00|"),"Same window",IF(FIND("|"&amp;Q356&amp;"|","|1-5 min|5-15 min|15-60 min|9:30-11:00|11:00-16:00|Not by 16:00|")&lt;FIND("|"&amp;R356&amp;"|","|1-5 min|5-15 min|15-60 min|9:30-11:00|11:00-16:00|Not by 16:00|"),IF(E356="Up","High first (main side)",IF(E356="Down","High first (wick side)","High first")),IF(E356="Down","Low first (main side)",IF(E356="Up","Low first (wick side)","Low first"))))),"Check entries"))</f>
        <v/>
      </c>
      <c r="X356" s="28" t="n"/>
      <c r="Y356" s="27" t="n"/>
      <c r="Z356" s="27" t="n"/>
      <c r="AA356" s="27" t="n"/>
      <c r="AB356" s="27" t="n"/>
      <c r="AC356" s="27" t="n"/>
      <c r="AD356" s="27" t="n"/>
      <c r="AE356" s="28" t="n"/>
      <c r="AF356" s="30" t="n"/>
      <c r="AG356" s="27" t="n"/>
    </row>
    <row r="357">
      <c r="A357" s="25" t="n"/>
      <c r="B357" s="26">
        <f>IF(ISNUMBER(A357),TEXT(A357,"ddd"),"")</f>
        <v/>
      </c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8" t="n"/>
      <c r="M357" s="26">
        <f>IF(OR(L357="",AND(E357&lt;&gt;"Up",E357&lt;&gt;"Down")),"",IF(OR(L357="In line",L357="Mixed"),"Neutral data",IF(OR(AND(L357="Hotter",E357="Down"),AND(L357="Cooler",E357="Up")),"With data","Against data")))</f>
        <v/>
      </c>
      <c r="N357" s="28" t="n"/>
      <c r="O357" s="27" t="n"/>
      <c r="P357" s="27" t="n"/>
      <c r="Q357" s="28" t="n"/>
      <c r="R357" s="27" t="n"/>
      <c r="S357" s="29" t="n"/>
      <c r="T357" s="27" t="n"/>
      <c r="U357" s="27" t="n"/>
      <c r="V357" s="26">
        <f>IF(OR(AND(E357&lt;&gt;"Up",E357&lt;&gt;"Down"),NOT(ISNUMBER(S357)),IF(E357="Up",Q357,R357)=""),"",IF(S357&gt;=100,"Back to open",IF(OR(IF(E357="Up",Q357,R357)="1-5 min",IF(E357="Up",Q357,R357)="5-15 min"),"Continued",IF(S357&gt;=50,"Partial retrace","Stalled / chop"))))</f>
        <v/>
      </c>
      <c r="W357" s="26">
        <f>IF(OR(Q357="",R357=""),"",IFERROR(IF(AND(Q357="Not by 16:00",R357="Not by 16:00"),"Neither taken",IF(FIND("|"&amp;Q357&amp;"|","|1-5 min|5-15 min|15-60 min|9:30-11:00|11:00-16:00|Not by 16:00|")=FIND("|"&amp;R357&amp;"|","|1-5 min|5-15 min|15-60 min|9:30-11:00|11:00-16:00|Not by 16:00|"),"Same window",IF(FIND("|"&amp;Q357&amp;"|","|1-5 min|5-15 min|15-60 min|9:30-11:00|11:00-16:00|Not by 16:00|")&lt;FIND("|"&amp;R357&amp;"|","|1-5 min|5-15 min|15-60 min|9:30-11:00|11:00-16:00|Not by 16:00|"),IF(E357="Up","High first (main side)",IF(E357="Down","High first (wick side)","High first")),IF(E357="Down","Low first (main side)",IF(E357="Up","Low first (wick side)","Low first"))))),"Check entries"))</f>
        <v/>
      </c>
      <c r="X357" s="28" t="n"/>
      <c r="Y357" s="27" t="n"/>
      <c r="Z357" s="27" t="n"/>
      <c r="AA357" s="27" t="n"/>
      <c r="AB357" s="27" t="n"/>
      <c r="AC357" s="27" t="n"/>
      <c r="AD357" s="27" t="n"/>
      <c r="AE357" s="28" t="n"/>
      <c r="AF357" s="30" t="n"/>
      <c r="AG357" s="27" t="n"/>
    </row>
    <row r="358">
      <c r="A358" s="25" t="n"/>
      <c r="B358" s="26">
        <f>IF(ISNUMBER(A358),TEXT(A358,"ddd"),"")</f>
        <v/>
      </c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8" t="n"/>
      <c r="M358" s="26">
        <f>IF(OR(L358="",AND(E358&lt;&gt;"Up",E358&lt;&gt;"Down")),"",IF(OR(L358="In line",L358="Mixed"),"Neutral data",IF(OR(AND(L358="Hotter",E358="Down"),AND(L358="Cooler",E358="Up")),"With data","Against data")))</f>
        <v/>
      </c>
      <c r="N358" s="28" t="n"/>
      <c r="O358" s="27" t="n"/>
      <c r="P358" s="27" t="n"/>
      <c r="Q358" s="28" t="n"/>
      <c r="R358" s="27" t="n"/>
      <c r="S358" s="29" t="n"/>
      <c r="T358" s="27" t="n"/>
      <c r="U358" s="27" t="n"/>
      <c r="V358" s="26">
        <f>IF(OR(AND(E358&lt;&gt;"Up",E358&lt;&gt;"Down"),NOT(ISNUMBER(S358)),IF(E358="Up",Q358,R358)=""),"",IF(S358&gt;=100,"Back to open",IF(OR(IF(E358="Up",Q358,R358)="1-5 min",IF(E358="Up",Q358,R358)="5-15 min"),"Continued",IF(S358&gt;=50,"Partial retrace","Stalled / chop"))))</f>
        <v/>
      </c>
      <c r="W358" s="26">
        <f>IF(OR(Q358="",R358=""),"",IFERROR(IF(AND(Q358="Not by 16:00",R358="Not by 16:00"),"Neither taken",IF(FIND("|"&amp;Q358&amp;"|","|1-5 min|5-15 min|15-60 min|9:30-11:00|11:00-16:00|Not by 16:00|")=FIND("|"&amp;R358&amp;"|","|1-5 min|5-15 min|15-60 min|9:30-11:00|11:00-16:00|Not by 16:00|"),"Same window",IF(FIND("|"&amp;Q358&amp;"|","|1-5 min|5-15 min|15-60 min|9:30-11:00|11:00-16:00|Not by 16:00|")&lt;FIND("|"&amp;R358&amp;"|","|1-5 min|5-15 min|15-60 min|9:30-11:00|11:00-16:00|Not by 16:00|"),IF(E358="Up","High first (main side)",IF(E358="Down","High first (wick side)","High first")),IF(E358="Down","Low first (main side)",IF(E358="Up","Low first (wick side)","Low first"))))),"Check entries"))</f>
        <v/>
      </c>
      <c r="X358" s="28" t="n"/>
      <c r="Y358" s="27" t="n"/>
      <c r="Z358" s="27" t="n"/>
      <c r="AA358" s="27" t="n"/>
      <c r="AB358" s="27" t="n"/>
      <c r="AC358" s="27" t="n"/>
      <c r="AD358" s="27" t="n"/>
      <c r="AE358" s="28" t="n"/>
      <c r="AF358" s="30" t="n"/>
      <c r="AG358" s="27" t="n"/>
    </row>
    <row r="359">
      <c r="A359" s="25" t="n"/>
      <c r="B359" s="26">
        <f>IF(ISNUMBER(A359),TEXT(A359,"ddd"),"")</f>
        <v/>
      </c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8" t="n"/>
      <c r="M359" s="26">
        <f>IF(OR(L359="",AND(E359&lt;&gt;"Up",E359&lt;&gt;"Down")),"",IF(OR(L359="In line",L359="Mixed"),"Neutral data",IF(OR(AND(L359="Hotter",E359="Down"),AND(L359="Cooler",E359="Up")),"With data","Against data")))</f>
        <v/>
      </c>
      <c r="N359" s="28" t="n"/>
      <c r="O359" s="27" t="n"/>
      <c r="P359" s="27" t="n"/>
      <c r="Q359" s="28" t="n"/>
      <c r="R359" s="27" t="n"/>
      <c r="S359" s="29" t="n"/>
      <c r="T359" s="27" t="n"/>
      <c r="U359" s="27" t="n"/>
      <c r="V359" s="26">
        <f>IF(OR(AND(E359&lt;&gt;"Up",E359&lt;&gt;"Down"),NOT(ISNUMBER(S359)),IF(E359="Up",Q359,R359)=""),"",IF(S359&gt;=100,"Back to open",IF(OR(IF(E359="Up",Q359,R359)="1-5 min",IF(E359="Up",Q359,R359)="5-15 min"),"Continued",IF(S359&gt;=50,"Partial retrace","Stalled / chop"))))</f>
        <v/>
      </c>
      <c r="W359" s="26">
        <f>IF(OR(Q359="",R359=""),"",IFERROR(IF(AND(Q359="Not by 16:00",R359="Not by 16:00"),"Neither taken",IF(FIND("|"&amp;Q359&amp;"|","|1-5 min|5-15 min|15-60 min|9:30-11:00|11:00-16:00|Not by 16:00|")=FIND("|"&amp;R359&amp;"|","|1-5 min|5-15 min|15-60 min|9:30-11:00|11:00-16:00|Not by 16:00|"),"Same window",IF(FIND("|"&amp;Q359&amp;"|","|1-5 min|5-15 min|15-60 min|9:30-11:00|11:00-16:00|Not by 16:00|")&lt;FIND("|"&amp;R359&amp;"|","|1-5 min|5-15 min|15-60 min|9:30-11:00|11:00-16:00|Not by 16:00|"),IF(E359="Up","High first (main side)",IF(E359="Down","High first (wick side)","High first")),IF(E359="Down","Low first (main side)",IF(E359="Up","Low first (wick side)","Low first"))))),"Check entries"))</f>
        <v/>
      </c>
      <c r="X359" s="28" t="n"/>
      <c r="Y359" s="27" t="n"/>
      <c r="Z359" s="27" t="n"/>
      <c r="AA359" s="27" t="n"/>
      <c r="AB359" s="27" t="n"/>
      <c r="AC359" s="27" t="n"/>
      <c r="AD359" s="27" t="n"/>
      <c r="AE359" s="28" t="n"/>
      <c r="AF359" s="30" t="n"/>
      <c r="AG359" s="27" t="n"/>
    </row>
    <row r="360">
      <c r="A360" s="25" t="n"/>
      <c r="B360" s="26">
        <f>IF(ISNUMBER(A360),TEXT(A360,"ddd"),"")</f>
        <v/>
      </c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8" t="n"/>
      <c r="M360" s="26">
        <f>IF(OR(L360="",AND(E360&lt;&gt;"Up",E360&lt;&gt;"Down")),"",IF(OR(L360="In line",L360="Mixed"),"Neutral data",IF(OR(AND(L360="Hotter",E360="Down"),AND(L360="Cooler",E360="Up")),"With data","Against data")))</f>
        <v/>
      </c>
      <c r="N360" s="28" t="n"/>
      <c r="O360" s="27" t="n"/>
      <c r="P360" s="27" t="n"/>
      <c r="Q360" s="28" t="n"/>
      <c r="R360" s="27" t="n"/>
      <c r="S360" s="29" t="n"/>
      <c r="T360" s="27" t="n"/>
      <c r="U360" s="27" t="n"/>
      <c r="V360" s="26">
        <f>IF(OR(AND(E360&lt;&gt;"Up",E360&lt;&gt;"Down"),NOT(ISNUMBER(S360)),IF(E360="Up",Q360,R360)=""),"",IF(S360&gt;=100,"Back to open",IF(OR(IF(E360="Up",Q360,R360)="1-5 min",IF(E360="Up",Q360,R360)="5-15 min"),"Continued",IF(S360&gt;=50,"Partial retrace","Stalled / chop"))))</f>
        <v/>
      </c>
      <c r="W360" s="26">
        <f>IF(OR(Q360="",R360=""),"",IFERROR(IF(AND(Q360="Not by 16:00",R360="Not by 16:00"),"Neither taken",IF(FIND("|"&amp;Q360&amp;"|","|1-5 min|5-15 min|15-60 min|9:30-11:00|11:00-16:00|Not by 16:00|")=FIND("|"&amp;R360&amp;"|","|1-5 min|5-15 min|15-60 min|9:30-11:00|11:00-16:00|Not by 16:00|"),"Same window",IF(FIND("|"&amp;Q360&amp;"|","|1-5 min|5-15 min|15-60 min|9:30-11:00|11:00-16:00|Not by 16:00|")&lt;FIND("|"&amp;R360&amp;"|","|1-5 min|5-15 min|15-60 min|9:30-11:00|11:00-16:00|Not by 16:00|"),IF(E360="Up","High first (main side)",IF(E360="Down","High first (wick side)","High first")),IF(E360="Down","Low first (main side)",IF(E360="Up","Low first (wick side)","Low first"))))),"Check entries"))</f>
        <v/>
      </c>
      <c r="X360" s="28" t="n"/>
      <c r="Y360" s="27" t="n"/>
      <c r="Z360" s="27" t="n"/>
      <c r="AA360" s="27" t="n"/>
      <c r="AB360" s="27" t="n"/>
      <c r="AC360" s="27" t="n"/>
      <c r="AD360" s="27" t="n"/>
      <c r="AE360" s="28" t="n"/>
      <c r="AF360" s="30" t="n"/>
      <c r="AG360" s="27" t="n"/>
    </row>
    <row r="361">
      <c r="A361" s="25" t="n"/>
      <c r="B361" s="26">
        <f>IF(ISNUMBER(A361),TEXT(A361,"ddd"),"")</f>
        <v/>
      </c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8" t="n"/>
      <c r="M361" s="26">
        <f>IF(OR(L361="",AND(E361&lt;&gt;"Up",E361&lt;&gt;"Down")),"",IF(OR(L361="In line",L361="Mixed"),"Neutral data",IF(OR(AND(L361="Hotter",E361="Down"),AND(L361="Cooler",E361="Up")),"With data","Against data")))</f>
        <v/>
      </c>
      <c r="N361" s="28" t="n"/>
      <c r="O361" s="27" t="n"/>
      <c r="P361" s="27" t="n"/>
      <c r="Q361" s="28" t="n"/>
      <c r="R361" s="27" t="n"/>
      <c r="S361" s="29" t="n"/>
      <c r="T361" s="27" t="n"/>
      <c r="U361" s="27" t="n"/>
      <c r="V361" s="26">
        <f>IF(OR(AND(E361&lt;&gt;"Up",E361&lt;&gt;"Down"),NOT(ISNUMBER(S361)),IF(E361="Up",Q361,R361)=""),"",IF(S361&gt;=100,"Back to open",IF(OR(IF(E361="Up",Q361,R361)="1-5 min",IF(E361="Up",Q361,R361)="5-15 min"),"Continued",IF(S361&gt;=50,"Partial retrace","Stalled / chop"))))</f>
        <v/>
      </c>
      <c r="W361" s="26">
        <f>IF(OR(Q361="",R361=""),"",IFERROR(IF(AND(Q361="Not by 16:00",R361="Not by 16:00"),"Neither taken",IF(FIND("|"&amp;Q361&amp;"|","|1-5 min|5-15 min|15-60 min|9:30-11:00|11:00-16:00|Not by 16:00|")=FIND("|"&amp;R361&amp;"|","|1-5 min|5-15 min|15-60 min|9:30-11:00|11:00-16:00|Not by 16:00|"),"Same window",IF(FIND("|"&amp;Q361&amp;"|","|1-5 min|5-15 min|15-60 min|9:30-11:00|11:00-16:00|Not by 16:00|")&lt;FIND("|"&amp;R361&amp;"|","|1-5 min|5-15 min|15-60 min|9:30-11:00|11:00-16:00|Not by 16:00|"),IF(E361="Up","High first (main side)",IF(E361="Down","High first (wick side)","High first")),IF(E361="Down","Low first (main side)",IF(E361="Up","Low first (wick side)","Low first"))))),"Check entries"))</f>
        <v/>
      </c>
      <c r="X361" s="28" t="n"/>
      <c r="Y361" s="27" t="n"/>
      <c r="Z361" s="27" t="n"/>
      <c r="AA361" s="27" t="n"/>
      <c r="AB361" s="27" t="n"/>
      <c r="AC361" s="27" t="n"/>
      <c r="AD361" s="27" t="n"/>
      <c r="AE361" s="28" t="n"/>
      <c r="AF361" s="30" t="n"/>
      <c r="AG361" s="27" t="n"/>
    </row>
    <row r="362">
      <c r="A362" s="25" t="n"/>
      <c r="B362" s="26">
        <f>IF(ISNUMBER(A362),TEXT(A362,"ddd"),"")</f>
        <v/>
      </c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8" t="n"/>
      <c r="M362" s="26">
        <f>IF(OR(L362="",AND(E362&lt;&gt;"Up",E362&lt;&gt;"Down")),"",IF(OR(L362="In line",L362="Mixed"),"Neutral data",IF(OR(AND(L362="Hotter",E362="Down"),AND(L362="Cooler",E362="Up")),"With data","Against data")))</f>
        <v/>
      </c>
      <c r="N362" s="28" t="n"/>
      <c r="O362" s="27" t="n"/>
      <c r="P362" s="27" t="n"/>
      <c r="Q362" s="28" t="n"/>
      <c r="R362" s="27" t="n"/>
      <c r="S362" s="29" t="n"/>
      <c r="T362" s="27" t="n"/>
      <c r="U362" s="27" t="n"/>
      <c r="V362" s="26">
        <f>IF(OR(AND(E362&lt;&gt;"Up",E362&lt;&gt;"Down"),NOT(ISNUMBER(S362)),IF(E362="Up",Q362,R362)=""),"",IF(S362&gt;=100,"Back to open",IF(OR(IF(E362="Up",Q362,R362)="1-5 min",IF(E362="Up",Q362,R362)="5-15 min"),"Continued",IF(S362&gt;=50,"Partial retrace","Stalled / chop"))))</f>
        <v/>
      </c>
      <c r="W362" s="26">
        <f>IF(OR(Q362="",R362=""),"",IFERROR(IF(AND(Q362="Not by 16:00",R362="Not by 16:00"),"Neither taken",IF(FIND("|"&amp;Q362&amp;"|","|1-5 min|5-15 min|15-60 min|9:30-11:00|11:00-16:00|Not by 16:00|")=FIND("|"&amp;R362&amp;"|","|1-5 min|5-15 min|15-60 min|9:30-11:00|11:00-16:00|Not by 16:00|"),"Same window",IF(FIND("|"&amp;Q362&amp;"|","|1-5 min|5-15 min|15-60 min|9:30-11:00|11:00-16:00|Not by 16:00|")&lt;FIND("|"&amp;R362&amp;"|","|1-5 min|5-15 min|15-60 min|9:30-11:00|11:00-16:00|Not by 16:00|"),IF(E362="Up","High first (main side)",IF(E362="Down","High first (wick side)","High first")),IF(E362="Down","Low first (main side)",IF(E362="Up","Low first (wick side)","Low first"))))),"Check entries"))</f>
        <v/>
      </c>
      <c r="X362" s="28" t="n"/>
      <c r="Y362" s="27" t="n"/>
      <c r="Z362" s="27" t="n"/>
      <c r="AA362" s="27" t="n"/>
      <c r="AB362" s="27" t="n"/>
      <c r="AC362" s="27" t="n"/>
      <c r="AD362" s="27" t="n"/>
      <c r="AE362" s="28" t="n"/>
      <c r="AF362" s="30" t="n"/>
      <c r="AG362" s="27" t="n"/>
    </row>
    <row r="363">
      <c r="A363" s="25" t="n"/>
      <c r="B363" s="26">
        <f>IF(ISNUMBER(A363),TEXT(A363,"ddd"),"")</f>
        <v/>
      </c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8" t="n"/>
      <c r="M363" s="26">
        <f>IF(OR(L363="",AND(E363&lt;&gt;"Up",E363&lt;&gt;"Down")),"",IF(OR(L363="In line",L363="Mixed"),"Neutral data",IF(OR(AND(L363="Hotter",E363="Down"),AND(L363="Cooler",E363="Up")),"With data","Against data")))</f>
        <v/>
      </c>
      <c r="N363" s="28" t="n"/>
      <c r="O363" s="27" t="n"/>
      <c r="P363" s="27" t="n"/>
      <c r="Q363" s="28" t="n"/>
      <c r="R363" s="27" t="n"/>
      <c r="S363" s="29" t="n"/>
      <c r="T363" s="27" t="n"/>
      <c r="U363" s="27" t="n"/>
      <c r="V363" s="26">
        <f>IF(OR(AND(E363&lt;&gt;"Up",E363&lt;&gt;"Down"),NOT(ISNUMBER(S363)),IF(E363="Up",Q363,R363)=""),"",IF(S363&gt;=100,"Back to open",IF(OR(IF(E363="Up",Q363,R363)="1-5 min",IF(E363="Up",Q363,R363)="5-15 min"),"Continued",IF(S363&gt;=50,"Partial retrace","Stalled / chop"))))</f>
        <v/>
      </c>
      <c r="W363" s="26">
        <f>IF(OR(Q363="",R363=""),"",IFERROR(IF(AND(Q363="Not by 16:00",R363="Not by 16:00"),"Neither taken",IF(FIND("|"&amp;Q363&amp;"|","|1-5 min|5-15 min|15-60 min|9:30-11:00|11:00-16:00|Not by 16:00|")=FIND("|"&amp;R363&amp;"|","|1-5 min|5-15 min|15-60 min|9:30-11:00|11:00-16:00|Not by 16:00|"),"Same window",IF(FIND("|"&amp;Q363&amp;"|","|1-5 min|5-15 min|15-60 min|9:30-11:00|11:00-16:00|Not by 16:00|")&lt;FIND("|"&amp;R363&amp;"|","|1-5 min|5-15 min|15-60 min|9:30-11:00|11:00-16:00|Not by 16:00|"),IF(E363="Up","High first (main side)",IF(E363="Down","High first (wick side)","High first")),IF(E363="Down","Low first (main side)",IF(E363="Up","Low first (wick side)","Low first"))))),"Check entries"))</f>
        <v/>
      </c>
      <c r="X363" s="28" t="n"/>
      <c r="Y363" s="27" t="n"/>
      <c r="Z363" s="27" t="n"/>
      <c r="AA363" s="27" t="n"/>
      <c r="AB363" s="27" t="n"/>
      <c r="AC363" s="27" t="n"/>
      <c r="AD363" s="27" t="n"/>
      <c r="AE363" s="28" t="n"/>
      <c r="AF363" s="30" t="n"/>
      <c r="AG363" s="27" t="n"/>
    </row>
    <row r="364">
      <c r="A364" s="25" t="n"/>
      <c r="B364" s="26">
        <f>IF(ISNUMBER(A364),TEXT(A364,"ddd"),"")</f>
        <v/>
      </c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8" t="n"/>
      <c r="M364" s="26">
        <f>IF(OR(L364="",AND(E364&lt;&gt;"Up",E364&lt;&gt;"Down")),"",IF(OR(L364="In line",L364="Mixed"),"Neutral data",IF(OR(AND(L364="Hotter",E364="Down"),AND(L364="Cooler",E364="Up")),"With data","Against data")))</f>
        <v/>
      </c>
      <c r="N364" s="28" t="n"/>
      <c r="O364" s="27" t="n"/>
      <c r="P364" s="27" t="n"/>
      <c r="Q364" s="28" t="n"/>
      <c r="R364" s="27" t="n"/>
      <c r="S364" s="29" t="n"/>
      <c r="T364" s="27" t="n"/>
      <c r="U364" s="27" t="n"/>
      <c r="V364" s="26">
        <f>IF(OR(AND(E364&lt;&gt;"Up",E364&lt;&gt;"Down"),NOT(ISNUMBER(S364)),IF(E364="Up",Q364,R364)=""),"",IF(S364&gt;=100,"Back to open",IF(OR(IF(E364="Up",Q364,R364)="1-5 min",IF(E364="Up",Q364,R364)="5-15 min"),"Continued",IF(S364&gt;=50,"Partial retrace","Stalled / chop"))))</f>
        <v/>
      </c>
      <c r="W364" s="26">
        <f>IF(OR(Q364="",R364=""),"",IFERROR(IF(AND(Q364="Not by 16:00",R364="Not by 16:00"),"Neither taken",IF(FIND("|"&amp;Q364&amp;"|","|1-5 min|5-15 min|15-60 min|9:30-11:00|11:00-16:00|Not by 16:00|")=FIND("|"&amp;R364&amp;"|","|1-5 min|5-15 min|15-60 min|9:30-11:00|11:00-16:00|Not by 16:00|"),"Same window",IF(FIND("|"&amp;Q364&amp;"|","|1-5 min|5-15 min|15-60 min|9:30-11:00|11:00-16:00|Not by 16:00|")&lt;FIND("|"&amp;R364&amp;"|","|1-5 min|5-15 min|15-60 min|9:30-11:00|11:00-16:00|Not by 16:00|"),IF(E364="Up","High first (main side)",IF(E364="Down","High first (wick side)","High first")),IF(E364="Down","Low first (main side)",IF(E364="Up","Low first (wick side)","Low first"))))),"Check entries"))</f>
        <v/>
      </c>
      <c r="X364" s="28" t="n"/>
      <c r="Y364" s="27" t="n"/>
      <c r="Z364" s="27" t="n"/>
      <c r="AA364" s="27" t="n"/>
      <c r="AB364" s="27" t="n"/>
      <c r="AC364" s="27" t="n"/>
      <c r="AD364" s="27" t="n"/>
      <c r="AE364" s="28" t="n"/>
      <c r="AF364" s="30" t="n"/>
      <c r="AG364" s="27" t="n"/>
    </row>
    <row r="365">
      <c r="A365" s="25" t="n"/>
      <c r="B365" s="26">
        <f>IF(ISNUMBER(A365),TEXT(A365,"ddd"),"")</f>
        <v/>
      </c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8" t="n"/>
      <c r="M365" s="26">
        <f>IF(OR(L365="",AND(E365&lt;&gt;"Up",E365&lt;&gt;"Down")),"",IF(OR(L365="In line",L365="Mixed"),"Neutral data",IF(OR(AND(L365="Hotter",E365="Down"),AND(L365="Cooler",E365="Up")),"With data","Against data")))</f>
        <v/>
      </c>
      <c r="N365" s="28" t="n"/>
      <c r="O365" s="27" t="n"/>
      <c r="P365" s="27" t="n"/>
      <c r="Q365" s="28" t="n"/>
      <c r="R365" s="27" t="n"/>
      <c r="S365" s="29" t="n"/>
      <c r="T365" s="27" t="n"/>
      <c r="U365" s="27" t="n"/>
      <c r="V365" s="26">
        <f>IF(OR(AND(E365&lt;&gt;"Up",E365&lt;&gt;"Down"),NOT(ISNUMBER(S365)),IF(E365="Up",Q365,R365)=""),"",IF(S365&gt;=100,"Back to open",IF(OR(IF(E365="Up",Q365,R365)="1-5 min",IF(E365="Up",Q365,R365)="5-15 min"),"Continued",IF(S365&gt;=50,"Partial retrace","Stalled / chop"))))</f>
        <v/>
      </c>
      <c r="W365" s="26">
        <f>IF(OR(Q365="",R365=""),"",IFERROR(IF(AND(Q365="Not by 16:00",R365="Not by 16:00"),"Neither taken",IF(FIND("|"&amp;Q365&amp;"|","|1-5 min|5-15 min|15-60 min|9:30-11:00|11:00-16:00|Not by 16:00|")=FIND("|"&amp;R365&amp;"|","|1-5 min|5-15 min|15-60 min|9:30-11:00|11:00-16:00|Not by 16:00|"),"Same window",IF(FIND("|"&amp;Q365&amp;"|","|1-5 min|5-15 min|15-60 min|9:30-11:00|11:00-16:00|Not by 16:00|")&lt;FIND("|"&amp;R365&amp;"|","|1-5 min|5-15 min|15-60 min|9:30-11:00|11:00-16:00|Not by 16:00|"),IF(E365="Up","High first (main side)",IF(E365="Down","High first (wick side)","High first")),IF(E365="Down","Low first (main side)",IF(E365="Up","Low first (wick side)","Low first"))))),"Check entries"))</f>
        <v/>
      </c>
      <c r="X365" s="28" t="n"/>
      <c r="Y365" s="27" t="n"/>
      <c r="Z365" s="27" t="n"/>
      <c r="AA365" s="27" t="n"/>
      <c r="AB365" s="27" t="n"/>
      <c r="AC365" s="27" t="n"/>
      <c r="AD365" s="27" t="n"/>
      <c r="AE365" s="28" t="n"/>
      <c r="AF365" s="30" t="n"/>
      <c r="AG365" s="27" t="n"/>
    </row>
    <row r="366">
      <c r="A366" s="25" t="n"/>
      <c r="B366" s="26">
        <f>IF(ISNUMBER(A366),TEXT(A366,"ddd"),"")</f>
        <v/>
      </c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8" t="n"/>
      <c r="M366" s="26">
        <f>IF(OR(L366="",AND(E366&lt;&gt;"Up",E366&lt;&gt;"Down")),"",IF(OR(L366="In line",L366="Mixed"),"Neutral data",IF(OR(AND(L366="Hotter",E366="Down"),AND(L366="Cooler",E366="Up")),"With data","Against data")))</f>
        <v/>
      </c>
      <c r="N366" s="28" t="n"/>
      <c r="O366" s="27" t="n"/>
      <c r="P366" s="27" t="n"/>
      <c r="Q366" s="28" t="n"/>
      <c r="R366" s="27" t="n"/>
      <c r="S366" s="29" t="n"/>
      <c r="T366" s="27" t="n"/>
      <c r="U366" s="27" t="n"/>
      <c r="V366" s="26">
        <f>IF(OR(AND(E366&lt;&gt;"Up",E366&lt;&gt;"Down"),NOT(ISNUMBER(S366)),IF(E366="Up",Q366,R366)=""),"",IF(S366&gt;=100,"Back to open",IF(OR(IF(E366="Up",Q366,R366)="1-5 min",IF(E366="Up",Q366,R366)="5-15 min"),"Continued",IF(S366&gt;=50,"Partial retrace","Stalled / chop"))))</f>
        <v/>
      </c>
      <c r="W366" s="26">
        <f>IF(OR(Q366="",R366=""),"",IFERROR(IF(AND(Q366="Not by 16:00",R366="Not by 16:00"),"Neither taken",IF(FIND("|"&amp;Q366&amp;"|","|1-5 min|5-15 min|15-60 min|9:30-11:00|11:00-16:00|Not by 16:00|")=FIND("|"&amp;R366&amp;"|","|1-5 min|5-15 min|15-60 min|9:30-11:00|11:00-16:00|Not by 16:00|"),"Same window",IF(FIND("|"&amp;Q366&amp;"|","|1-5 min|5-15 min|15-60 min|9:30-11:00|11:00-16:00|Not by 16:00|")&lt;FIND("|"&amp;R366&amp;"|","|1-5 min|5-15 min|15-60 min|9:30-11:00|11:00-16:00|Not by 16:00|"),IF(E366="Up","High first (main side)",IF(E366="Down","High first (wick side)","High first")),IF(E366="Down","Low first (main side)",IF(E366="Up","Low first (wick side)","Low first"))))),"Check entries"))</f>
        <v/>
      </c>
      <c r="X366" s="28" t="n"/>
      <c r="Y366" s="27" t="n"/>
      <c r="Z366" s="27" t="n"/>
      <c r="AA366" s="27" t="n"/>
      <c r="AB366" s="27" t="n"/>
      <c r="AC366" s="27" t="n"/>
      <c r="AD366" s="27" t="n"/>
      <c r="AE366" s="28" t="n"/>
      <c r="AF366" s="30" t="n"/>
      <c r="AG366" s="27" t="n"/>
    </row>
    <row r="367">
      <c r="A367" s="25" t="n"/>
      <c r="B367" s="26">
        <f>IF(ISNUMBER(A367),TEXT(A367,"ddd"),"")</f>
        <v/>
      </c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8" t="n"/>
      <c r="M367" s="26">
        <f>IF(OR(L367="",AND(E367&lt;&gt;"Up",E367&lt;&gt;"Down")),"",IF(OR(L367="In line",L367="Mixed"),"Neutral data",IF(OR(AND(L367="Hotter",E367="Down"),AND(L367="Cooler",E367="Up")),"With data","Against data")))</f>
        <v/>
      </c>
      <c r="N367" s="28" t="n"/>
      <c r="O367" s="27" t="n"/>
      <c r="P367" s="27" t="n"/>
      <c r="Q367" s="28" t="n"/>
      <c r="R367" s="27" t="n"/>
      <c r="S367" s="29" t="n"/>
      <c r="T367" s="27" t="n"/>
      <c r="U367" s="27" t="n"/>
      <c r="V367" s="26">
        <f>IF(OR(AND(E367&lt;&gt;"Up",E367&lt;&gt;"Down"),NOT(ISNUMBER(S367)),IF(E367="Up",Q367,R367)=""),"",IF(S367&gt;=100,"Back to open",IF(OR(IF(E367="Up",Q367,R367)="1-5 min",IF(E367="Up",Q367,R367)="5-15 min"),"Continued",IF(S367&gt;=50,"Partial retrace","Stalled / chop"))))</f>
        <v/>
      </c>
      <c r="W367" s="26">
        <f>IF(OR(Q367="",R367=""),"",IFERROR(IF(AND(Q367="Not by 16:00",R367="Not by 16:00"),"Neither taken",IF(FIND("|"&amp;Q367&amp;"|","|1-5 min|5-15 min|15-60 min|9:30-11:00|11:00-16:00|Not by 16:00|")=FIND("|"&amp;R367&amp;"|","|1-5 min|5-15 min|15-60 min|9:30-11:00|11:00-16:00|Not by 16:00|"),"Same window",IF(FIND("|"&amp;Q367&amp;"|","|1-5 min|5-15 min|15-60 min|9:30-11:00|11:00-16:00|Not by 16:00|")&lt;FIND("|"&amp;R367&amp;"|","|1-5 min|5-15 min|15-60 min|9:30-11:00|11:00-16:00|Not by 16:00|"),IF(E367="Up","High first (main side)",IF(E367="Down","High first (wick side)","High first")),IF(E367="Down","Low first (main side)",IF(E367="Up","Low first (wick side)","Low first"))))),"Check entries"))</f>
        <v/>
      </c>
      <c r="X367" s="28" t="n"/>
      <c r="Y367" s="27" t="n"/>
      <c r="Z367" s="27" t="n"/>
      <c r="AA367" s="27" t="n"/>
      <c r="AB367" s="27" t="n"/>
      <c r="AC367" s="27" t="n"/>
      <c r="AD367" s="27" t="n"/>
      <c r="AE367" s="28" t="n"/>
      <c r="AF367" s="30" t="n"/>
      <c r="AG367" s="27" t="n"/>
    </row>
    <row r="368">
      <c r="A368" s="25" t="n"/>
      <c r="B368" s="26">
        <f>IF(ISNUMBER(A368),TEXT(A368,"ddd"),"")</f>
        <v/>
      </c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8" t="n"/>
      <c r="M368" s="26">
        <f>IF(OR(L368="",AND(E368&lt;&gt;"Up",E368&lt;&gt;"Down")),"",IF(OR(L368="In line",L368="Mixed"),"Neutral data",IF(OR(AND(L368="Hotter",E368="Down"),AND(L368="Cooler",E368="Up")),"With data","Against data")))</f>
        <v/>
      </c>
      <c r="N368" s="28" t="n"/>
      <c r="O368" s="27" t="n"/>
      <c r="P368" s="27" t="n"/>
      <c r="Q368" s="28" t="n"/>
      <c r="R368" s="27" t="n"/>
      <c r="S368" s="29" t="n"/>
      <c r="T368" s="27" t="n"/>
      <c r="U368" s="27" t="n"/>
      <c r="V368" s="26">
        <f>IF(OR(AND(E368&lt;&gt;"Up",E368&lt;&gt;"Down"),NOT(ISNUMBER(S368)),IF(E368="Up",Q368,R368)=""),"",IF(S368&gt;=100,"Back to open",IF(OR(IF(E368="Up",Q368,R368)="1-5 min",IF(E368="Up",Q368,R368)="5-15 min"),"Continued",IF(S368&gt;=50,"Partial retrace","Stalled / chop"))))</f>
        <v/>
      </c>
      <c r="W368" s="26">
        <f>IF(OR(Q368="",R368=""),"",IFERROR(IF(AND(Q368="Not by 16:00",R368="Not by 16:00"),"Neither taken",IF(FIND("|"&amp;Q368&amp;"|","|1-5 min|5-15 min|15-60 min|9:30-11:00|11:00-16:00|Not by 16:00|")=FIND("|"&amp;R368&amp;"|","|1-5 min|5-15 min|15-60 min|9:30-11:00|11:00-16:00|Not by 16:00|"),"Same window",IF(FIND("|"&amp;Q368&amp;"|","|1-5 min|5-15 min|15-60 min|9:30-11:00|11:00-16:00|Not by 16:00|")&lt;FIND("|"&amp;R368&amp;"|","|1-5 min|5-15 min|15-60 min|9:30-11:00|11:00-16:00|Not by 16:00|"),IF(E368="Up","High first (main side)",IF(E368="Down","High first (wick side)","High first")),IF(E368="Down","Low first (main side)",IF(E368="Up","Low first (wick side)","Low first"))))),"Check entries"))</f>
        <v/>
      </c>
      <c r="X368" s="28" t="n"/>
      <c r="Y368" s="27" t="n"/>
      <c r="Z368" s="27" t="n"/>
      <c r="AA368" s="27" t="n"/>
      <c r="AB368" s="27" t="n"/>
      <c r="AC368" s="27" t="n"/>
      <c r="AD368" s="27" t="n"/>
      <c r="AE368" s="28" t="n"/>
      <c r="AF368" s="30" t="n"/>
      <c r="AG368" s="27" t="n"/>
    </row>
    <row r="369">
      <c r="A369" s="25" t="n"/>
      <c r="B369" s="26">
        <f>IF(ISNUMBER(A369),TEXT(A369,"ddd"),"")</f>
        <v/>
      </c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8" t="n"/>
      <c r="M369" s="26">
        <f>IF(OR(L369="",AND(E369&lt;&gt;"Up",E369&lt;&gt;"Down")),"",IF(OR(L369="In line",L369="Mixed"),"Neutral data",IF(OR(AND(L369="Hotter",E369="Down"),AND(L369="Cooler",E369="Up")),"With data","Against data")))</f>
        <v/>
      </c>
      <c r="N369" s="28" t="n"/>
      <c r="O369" s="27" t="n"/>
      <c r="P369" s="27" t="n"/>
      <c r="Q369" s="28" t="n"/>
      <c r="R369" s="27" t="n"/>
      <c r="S369" s="29" t="n"/>
      <c r="T369" s="27" t="n"/>
      <c r="U369" s="27" t="n"/>
      <c r="V369" s="26">
        <f>IF(OR(AND(E369&lt;&gt;"Up",E369&lt;&gt;"Down"),NOT(ISNUMBER(S369)),IF(E369="Up",Q369,R369)=""),"",IF(S369&gt;=100,"Back to open",IF(OR(IF(E369="Up",Q369,R369)="1-5 min",IF(E369="Up",Q369,R369)="5-15 min"),"Continued",IF(S369&gt;=50,"Partial retrace","Stalled / chop"))))</f>
        <v/>
      </c>
      <c r="W369" s="26">
        <f>IF(OR(Q369="",R369=""),"",IFERROR(IF(AND(Q369="Not by 16:00",R369="Not by 16:00"),"Neither taken",IF(FIND("|"&amp;Q369&amp;"|","|1-5 min|5-15 min|15-60 min|9:30-11:00|11:00-16:00|Not by 16:00|")=FIND("|"&amp;R369&amp;"|","|1-5 min|5-15 min|15-60 min|9:30-11:00|11:00-16:00|Not by 16:00|"),"Same window",IF(FIND("|"&amp;Q369&amp;"|","|1-5 min|5-15 min|15-60 min|9:30-11:00|11:00-16:00|Not by 16:00|")&lt;FIND("|"&amp;R369&amp;"|","|1-5 min|5-15 min|15-60 min|9:30-11:00|11:00-16:00|Not by 16:00|"),IF(E369="Up","High first (main side)",IF(E369="Down","High first (wick side)","High first")),IF(E369="Down","Low first (main side)",IF(E369="Up","Low first (wick side)","Low first"))))),"Check entries"))</f>
        <v/>
      </c>
      <c r="X369" s="28" t="n"/>
      <c r="Y369" s="27" t="n"/>
      <c r="Z369" s="27" t="n"/>
      <c r="AA369" s="27" t="n"/>
      <c r="AB369" s="27" t="n"/>
      <c r="AC369" s="27" t="n"/>
      <c r="AD369" s="27" t="n"/>
      <c r="AE369" s="28" t="n"/>
      <c r="AF369" s="30" t="n"/>
      <c r="AG369" s="27" t="n"/>
    </row>
    <row r="370">
      <c r="A370" s="25" t="n"/>
      <c r="B370" s="26">
        <f>IF(ISNUMBER(A370),TEXT(A370,"ddd"),"")</f>
        <v/>
      </c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8" t="n"/>
      <c r="M370" s="26">
        <f>IF(OR(L370="",AND(E370&lt;&gt;"Up",E370&lt;&gt;"Down")),"",IF(OR(L370="In line",L370="Mixed"),"Neutral data",IF(OR(AND(L370="Hotter",E370="Down"),AND(L370="Cooler",E370="Up")),"With data","Against data")))</f>
        <v/>
      </c>
      <c r="N370" s="28" t="n"/>
      <c r="O370" s="27" t="n"/>
      <c r="P370" s="27" t="n"/>
      <c r="Q370" s="28" t="n"/>
      <c r="R370" s="27" t="n"/>
      <c r="S370" s="29" t="n"/>
      <c r="T370" s="27" t="n"/>
      <c r="U370" s="27" t="n"/>
      <c r="V370" s="26">
        <f>IF(OR(AND(E370&lt;&gt;"Up",E370&lt;&gt;"Down"),NOT(ISNUMBER(S370)),IF(E370="Up",Q370,R370)=""),"",IF(S370&gt;=100,"Back to open",IF(OR(IF(E370="Up",Q370,R370)="1-5 min",IF(E370="Up",Q370,R370)="5-15 min"),"Continued",IF(S370&gt;=50,"Partial retrace","Stalled / chop"))))</f>
        <v/>
      </c>
      <c r="W370" s="26">
        <f>IF(OR(Q370="",R370=""),"",IFERROR(IF(AND(Q370="Not by 16:00",R370="Not by 16:00"),"Neither taken",IF(FIND("|"&amp;Q370&amp;"|","|1-5 min|5-15 min|15-60 min|9:30-11:00|11:00-16:00|Not by 16:00|")=FIND("|"&amp;R370&amp;"|","|1-5 min|5-15 min|15-60 min|9:30-11:00|11:00-16:00|Not by 16:00|"),"Same window",IF(FIND("|"&amp;Q370&amp;"|","|1-5 min|5-15 min|15-60 min|9:30-11:00|11:00-16:00|Not by 16:00|")&lt;FIND("|"&amp;R370&amp;"|","|1-5 min|5-15 min|15-60 min|9:30-11:00|11:00-16:00|Not by 16:00|"),IF(E370="Up","High first (main side)",IF(E370="Down","High first (wick side)","High first")),IF(E370="Down","Low first (main side)",IF(E370="Up","Low first (wick side)","Low first"))))),"Check entries"))</f>
        <v/>
      </c>
      <c r="X370" s="28" t="n"/>
      <c r="Y370" s="27" t="n"/>
      <c r="Z370" s="27" t="n"/>
      <c r="AA370" s="27" t="n"/>
      <c r="AB370" s="27" t="n"/>
      <c r="AC370" s="27" t="n"/>
      <c r="AD370" s="27" t="n"/>
      <c r="AE370" s="28" t="n"/>
      <c r="AF370" s="30" t="n"/>
      <c r="AG370" s="27" t="n"/>
    </row>
    <row r="371">
      <c r="A371" s="25" t="n"/>
      <c r="B371" s="26">
        <f>IF(ISNUMBER(A371),TEXT(A371,"ddd"),"")</f>
        <v/>
      </c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8" t="n"/>
      <c r="M371" s="26">
        <f>IF(OR(L371="",AND(E371&lt;&gt;"Up",E371&lt;&gt;"Down")),"",IF(OR(L371="In line",L371="Mixed"),"Neutral data",IF(OR(AND(L371="Hotter",E371="Down"),AND(L371="Cooler",E371="Up")),"With data","Against data")))</f>
        <v/>
      </c>
      <c r="N371" s="28" t="n"/>
      <c r="O371" s="27" t="n"/>
      <c r="P371" s="27" t="n"/>
      <c r="Q371" s="28" t="n"/>
      <c r="R371" s="27" t="n"/>
      <c r="S371" s="29" t="n"/>
      <c r="T371" s="27" t="n"/>
      <c r="U371" s="27" t="n"/>
      <c r="V371" s="26">
        <f>IF(OR(AND(E371&lt;&gt;"Up",E371&lt;&gt;"Down"),NOT(ISNUMBER(S371)),IF(E371="Up",Q371,R371)=""),"",IF(S371&gt;=100,"Back to open",IF(OR(IF(E371="Up",Q371,R371)="1-5 min",IF(E371="Up",Q371,R371)="5-15 min"),"Continued",IF(S371&gt;=50,"Partial retrace","Stalled / chop"))))</f>
        <v/>
      </c>
      <c r="W371" s="26">
        <f>IF(OR(Q371="",R371=""),"",IFERROR(IF(AND(Q371="Not by 16:00",R371="Not by 16:00"),"Neither taken",IF(FIND("|"&amp;Q371&amp;"|","|1-5 min|5-15 min|15-60 min|9:30-11:00|11:00-16:00|Not by 16:00|")=FIND("|"&amp;R371&amp;"|","|1-5 min|5-15 min|15-60 min|9:30-11:00|11:00-16:00|Not by 16:00|"),"Same window",IF(FIND("|"&amp;Q371&amp;"|","|1-5 min|5-15 min|15-60 min|9:30-11:00|11:00-16:00|Not by 16:00|")&lt;FIND("|"&amp;R371&amp;"|","|1-5 min|5-15 min|15-60 min|9:30-11:00|11:00-16:00|Not by 16:00|"),IF(E371="Up","High first (main side)",IF(E371="Down","High first (wick side)","High first")),IF(E371="Down","Low first (main side)",IF(E371="Up","Low first (wick side)","Low first"))))),"Check entries"))</f>
        <v/>
      </c>
      <c r="X371" s="28" t="n"/>
      <c r="Y371" s="27" t="n"/>
      <c r="Z371" s="27" t="n"/>
      <c r="AA371" s="27" t="n"/>
      <c r="AB371" s="27" t="n"/>
      <c r="AC371" s="27" t="n"/>
      <c r="AD371" s="27" t="n"/>
      <c r="AE371" s="28" t="n"/>
      <c r="AF371" s="30" t="n"/>
      <c r="AG371" s="27" t="n"/>
    </row>
    <row r="372">
      <c r="A372" s="25" t="n"/>
      <c r="B372" s="26">
        <f>IF(ISNUMBER(A372),TEXT(A372,"ddd"),"")</f>
        <v/>
      </c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8" t="n"/>
      <c r="M372" s="26">
        <f>IF(OR(L372="",AND(E372&lt;&gt;"Up",E372&lt;&gt;"Down")),"",IF(OR(L372="In line",L372="Mixed"),"Neutral data",IF(OR(AND(L372="Hotter",E372="Down"),AND(L372="Cooler",E372="Up")),"With data","Against data")))</f>
        <v/>
      </c>
      <c r="N372" s="28" t="n"/>
      <c r="O372" s="27" t="n"/>
      <c r="P372" s="27" t="n"/>
      <c r="Q372" s="28" t="n"/>
      <c r="R372" s="27" t="n"/>
      <c r="S372" s="29" t="n"/>
      <c r="T372" s="27" t="n"/>
      <c r="U372" s="27" t="n"/>
      <c r="V372" s="26">
        <f>IF(OR(AND(E372&lt;&gt;"Up",E372&lt;&gt;"Down"),NOT(ISNUMBER(S372)),IF(E372="Up",Q372,R372)=""),"",IF(S372&gt;=100,"Back to open",IF(OR(IF(E372="Up",Q372,R372)="1-5 min",IF(E372="Up",Q372,R372)="5-15 min"),"Continued",IF(S372&gt;=50,"Partial retrace","Stalled / chop"))))</f>
        <v/>
      </c>
      <c r="W372" s="26">
        <f>IF(OR(Q372="",R372=""),"",IFERROR(IF(AND(Q372="Not by 16:00",R372="Not by 16:00"),"Neither taken",IF(FIND("|"&amp;Q372&amp;"|","|1-5 min|5-15 min|15-60 min|9:30-11:00|11:00-16:00|Not by 16:00|")=FIND("|"&amp;R372&amp;"|","|1-5 min|5-15 min|15-60 min|9:30-11:00|11:00-16:00|Not by 16:00|"),"Same window",IF(FIND("|"&amp;Q372&amp;"|","|1-5 min|5-15 min|15-60 min|9:30-11:00|11:00-16:00|Not by 16:00|")&lt;FIND("|"&amp;R372&amp;"|","|1-5 min|5-15 min|15-60 min|9:30-11:00|11:00-16:00|Not by 16:00|"),IF(E372="Up","High first (main side)",IF(E372="Down","High first (wick side)","High first")),IF(E372="Down","Low first (main side)",IF(E372="Up","Low first (wick side)","Low first"))))),"Check entries"))</f>
        <v/>
      </c>
      <c r="X372" s="28" t="n"/>
      <c r="Y372" s="27" t="n"/>
      <c r="Z372" s="27" t="n"/>
      <c r="AA372" s="27" t="n"/>
      <c r="AB372" s="27" t="n"/>
      <c r="AC372" s="27" t="n"/>
      <c r="AD372" s="27" t="n"/>
      <c r="AE372" s="28" t="n"/>
      <c r="AF372" s="30" t="n"/>
      <c r="AG372" s="27" t="n"/>
    </row>
    <row r="373">
      <c r="A373" s="25" t="n"/>
      <c r="B373" s="26">
        <f>IF(ISNUMBER(A373),TEXT(A373,"ddd"),"")</f>
        <v/>
      </c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8" t="n"/>
      <c r="M373" s="26">
        <f>IF(OR(L373="",AND(E373&lt;&gt;"Up",E373&lt;&gt;"Down")),"",IF(OR(L373="In line",L373="Mixed"),"Neutral data",IF(OR(AND(L373="Hotter",E373="Down"),AND(L373="Cooler",E373="Up")),"With data","Against data")))</f>
        <v/>
      </c>
      <c r="N373" s="28" t="n"/>
      <c r="O373" s="27" t="n"/>
      <c r="P373" s="27" t="n"/>
      <c r="Q373" s="28" t="n"/>
      <c r="R373" s="27" t="n"/>
      <c r="S373" s="29" t="n"/>
      <c r="T373" s="27" t="n"/>
      <c r="U373" s="27" t="n"/>
      <c r="V373" s="26">
        <f>IF(OR(AND(E373&lt;&gt;"Up",E373&lt;&gt;"Down"),NOT(ISNUMBER(S373)),IF(E373="Up",Q373,R373)=""),"",IF(S373&gt;=100,"Back to open",IF(OR(IF(E373="Up",Q373,R373)="1-5 min",IF(E373="Up",Q373,R373)="5-15 min"),"Continued",IF(S373&gt;=50,"Partial retrace","Stalled / chop"))))</f>
        <v/>
      </c>
      <c r="W373" s="26">
        <f>IF(OR(Q373="",R373=""),"",IFERROR(IF(AND(Q373="Not by 16:00",R373="Not by 16:00"),"Neither taken",IF(FIND("|"&amp;Q373&amp;"|","|1-5 min|5-15 min|15-60 min|9:30-11:00|11:00-16:00|Not by 16:00|")=FIND("|"&amp;R373&amp;"|","|1-5 min|5-15 min|15-60 min|9:30-11:00|11:00-16:00|Not by 16:00|"),"Same window",IF(FIND("|"&amp;Q373&amp;"|","|1-5 min|5-15 min|15-60 min|9:30-11:00|11:00-16:00|Not by 16:00|")&lt;FIND("|"&amp;R373&amp;"|","|1-5 min|5-15 min|15-60 min|9:30-11:00|11:00-16:00|Not by 16:00|"),IF(E373="Up","High first (main side)",IF(E373="Down","High first (wick side)","High first")),IF(E373="Down","Low first (main side)",IF(E373="Up","Low first (wick side)","Low first"))))),"Check entries"))</f>
        <v/>
      </c>
      <c r="X373" s="28" t="n"/>
      <c r="Y373" s="27" t="n"/>
      <c r="Z373" s="27" t="n"/>
      <c r="AA373" s="27" t="n"/>
      <c r="AB373" s="27" t="n"/>
      <c r="AC373" s="27" t="n"/>
      <c r="AD373" s="27" t="n"/>
      <c r="AE373" s="28" t="n"/>
      <c r="AF373" s="30" t="n"/>
      <c r="AG373" s="27" t="n"/>
    </row>
    <row r="374">
      <c r="A374" s="25" t="n"/>
      <c r="B374" s="26">
        <f>IF(ISNUMBER(A374),TEXT(A374,"ddd"),"")</f>
        <v/>
      </c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8" t="n"/>
      <c r="M374" s="26">
        <f>IF(OR(L374="",AND(E374&lt;&gt;"Up",E374&lt;&gt;"Down")),"",IF(OR(L374="In line",L374="Mixed"),"Neutral data",IF(OR(AND(L374="Hotter",E374="Down"),AND(L374="Cooler",E374="Up")),"With data","Against data")))</f>
        <v/>
      </c>
      <c r="N374" s="28" t="n"/>
      <c r="O374" s="27" t="n"/>
      <c r="P374" s="27" t="n"/>
      <c r="Q374" s="28" t="n"/>
      <c r="R374" s="27" t="n"/>
      <c r="S374" s="29" t="n"/>
      <c r="T374" s="27" t="n"/>
      <c r="U374" s="27" t="n"/>
      <c r="V374" s="26">
        <f>IF(OR(AND(E374&lt;&gt;"Up",E374&lt;&gt;"Down"),NOT(ISNUMBER(S374)),IF(E374="Up",Q374,R374)=""),"",IF(S374&gt;=100,"Back to open",IF(OR(IF(E374="Up",Q374,R374)="1-5 min",IF(E374="Up",Q374,R374)="5-15 min"),"Continued",IF(S374&gt;=50,"Partial retrace","Stalled / chop"))))</f>
        <v/>
      </c>
      <c r="W374" s="26">
        <f>IF(OR(Q374="",R374=""),"",IFERROR(IF(AND(Q374="Not by 16:00",R374="Not by 16:00"),"Neither taken",IF(FIND("|"&amp;Q374&amp;"|","|1-5 min|5-15 min|15-60 min|9:30-11:00|11:00-16:00|Not by 16:00|")=FIND("|"&amp;R374&amp;"|","|1-5 min|5-15 min|15-60 min|9:30-11:00|11:00-16:00|Not by 16:00|"),"Same window",IF(FIND("|"&amp;Q374&amp;"|","|1-5 min|5-15 min|15-60 min|9:30-11:00|11:00-16:00|Not by 16:00|")&lt;FIND("|"&amp;R374&amp;"|","|1-5 min|5-15 min|15-60 min|9:30-11:00|11:00-16:00|Not by 16:00|"),IF(E374="Up","High first (main side)",IF(E374="Down","High first (wick side)","High first")),IF(E374="Down","Low first (main side)",IF(E374="Up","Low first (wick side)","Low first"))))),"Check entries"))</f>
        <v/>
      </c>
      <c r="X374" s="28" t="n"/>
      <c r="Y374" s="27" t="n"/>
      <c r="Z374" s="27" t="n"/>
      <c r="AA374" s="27" t="n"/>
      <c r="AB374" s="27" t="n"/>
      <c r="AC374" s="27" t="n"/>
      <c r="AD374" s="27" t="n"/>
      <c r="AE374" s="28" t="n"/>
      <c r="AF374" s="30" t="n"/>
      <c r="AG374" s="27" t="n"/>
    </row>
    <row r="375">
      <c r="A375" s="25" t="n"/>
      <c r="B375" s="26">
        <f>IF(ISNUMBER(A375),TEXT(A375,"ddd"),"")</f>
        <v/>
      </c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8" t="n"/>
      <c r="M375" s="26">
        <f>IF(OR(L375="",AND(E375&lt;&gt;"Up",E375&lt;&gt;"Down")),"",IF(OR(L375="In line",L375="Mixed"),"Neutral data",IF(OR(AND(L375="Hotter",E375="Down"),AND(L375="Cooler",E375="Up")),"With data","Against data")))</f>
        <v/>
      </c>
      <c r="N375" s="28" t="n"/>
      <c r="O375" s="27" t="n"/>
      <c r="P375" s="27" t="n"/>
      <c r="Q375" s="28" t="n"/>
      <c r="R375" s="27" t="n"/>
      <c r="S375" s="29" t="n"/>
      <c r="T375" s="27" t="n"/>
      <c r="U375" s="27" t="n"/>
      <c r="V375" s="26">
        <f>IF(OR(AND(E375&lt;&gt;"Up",E375&lt;&gt;"Down"),NOT(ISNUMBER(S375)),IF(E375="Up",Q375,R375)=""),"",IF(S375&gt;=100,"Back to open",IF(OR(IF(E375="Up",Q375,R375)="1-5 min",IF(E375="Up",Q375,R375)="5-15 min"),"Continued",IF(S375&gt;=50,"Partial retrace","Stalled / chop"))))</f>
        <v/>
      </c>
      <c r="W375" s="26">
        <f>IF(OR(Q375="",R375=""),"",IFERROR(IF(AND(Q375="Not by 16:00",R375="Not by 16:00"),"Neither taken",IF(FIND("|"&amp;Q375&amp;"|","|1-5 min|5-15 min|15-60 min|9:30-11:00|11:00-16:00|Not by 16:00|")=FIND("|"&amp;R375&amp;"|","|1-5 min|5-15 min|15-60 min|9:30-11:00|11:00-16:00|Not by 16:00|"),"Same window",IF(FIND("|"&amp;Q375&amp;"|","|1-5 min|5-15 min|15-60 min|9:30-11:00|11:00-16:00|Not by 16:00|")&lt;FIND("|"&amp;R375&amp;"|","|1-5 min|5-15 min|15-60 min|9:30-11:00|11:00-16:00|Not by 16:00|"),IF(E375="Up","High first (main side)",IF(E375="Down","High first (wick side)","High first")),IF(E375="Down","Low first (main side)",IF(E375="Up","Low first (wick side)","Low first"))))),"Check entries"))</f>
        <v/>
      </c>
      <c r="X375" s="28" t="n"/>
      <c r="Y375" s="27" t="n"/>
      <c r="Z375" s="27" t="n"/>
      <c r="AA375" s="27" t="n"/>
      <c r="AB375" s="27" t="n"/>
      <c r="AC375" s="27" t="n"/>
      <c r="AD375" s="27" t="n"/>
      <c r="AE375" s="28" t="n"/>
      <c r="AF375" s="30" t="n"/>
      <c r="AG375" s="27" t="n"/>
    </row>
    <row r="376">
      <c r="A376" s="25" t="n"/>
      <c r="B376" s="26">
        <f>IF(ISNUMBER(A376),TEXT(A376,"ddd"),"")</f>
        <v/>
      </c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8" t="n"/>
      <c r="M376" s="26">
        <f>IF(OR(L376="",AND(E376&lt;&gt;"Up",E376&lt;&gt;"Down")),"",IF(OR(L376="In line",L376="Mixed"),"Neutral data",IF(OR(AND(L376="Hotter",E376="Down"),AND(L376="Cooler",E376="Up")),"With data","Against data")))</f>
        <v/>
      </c>
      <c r="N376" s="28" t="n"/>
      <c r="O376" s="27" t="n"/>
      <c r="P376" s="27" t="n"/>
      <c r="Q376" s="28" t="n"/>
      <c r="R376" s="27" t="n"/>
      <c r="S376" s="29" t="n"/>
      <c r="T376" s="27" t="n"/>
      <c r="U376" s="27" t="n"/>
      <c r="V376" s="26">
        <f>IF(OR(AND(E376&lt;&gt;"Up",E376&lt;&gt;"Down"),NOT(ISNUMBER(S376)),IF(E376="Up",Q376,R376)=""),"",IF(S376&gt;=100,"Back to open",IF(OR(IF(E376="Up",Q376,R376)="1-5 min",IF(E376="Up",Q376,R376)="5-15 min"),"Continued",IF(S376&gt;=50,"Partial retrace","Stalled / chop"))))</f>
        <v/>
      </c>
      <c r="W376" s="26">
        <f>IF(OR(Q376="",R376=""),"",IFERROR(IF(AND(Q376="Not by 16:00",R376="Not by 16:00"),"Neither taken",IF(FIND("|"&amp;Q376&amp;"|","|1-5 min|5-15 min|15-60 min|9:30-11:00|11:00-16:00|Not by 16:00|")=FIND("|"&amp;R376&amp;"|","|1-5 min|5-15 min|15-60 min|9:30-11:00|11:00-16:00|Not by 16:00|"),"Same window",IF(FIND("|"&amp;Q376&amp;"|","|1-5 min|5-15 min|15-60 min|9:30-11:00|11:00-16:00|Not by 16:00|")&lt;FIND("|"&amp;R376&amp;"|","|1-5 min|5-15 min|15-60 min|9:30-11:00|11:00-16:00|Not by 16:00|"),IF(E376="Up","High first (main side)",IF(E376="Down","High first (wick side)","High first")),IF(E376="Down","Low first (main side)",IF(E376="Up","Low first (wick side)","Low first"))))),"Check entries"))</f>
        <v/>
      </c>
      <c r="X376" s="28" t="n"/>
      <c r="Y376" s="27" t="n"/>
      <c r="Z376" s="27" t="n"/>
      <c r="AA376" s="27" t="n"/>
      <c r="AB376" s="27" t="n"/>
      <c r="AC376" s="27" t="n"/>
      <c r="AD376" s="27" t="n"/>
      <c r="AE376" s="28" t="n"/>
      <c r="AF376" s="30" t="n"/>
      <c r="AG376" s="27" t="n"/>
    </row>
    <row r="377">
      <c r="A377" s="25" t="n"/>
      <c r="B377" s="26">
        <f>IF(ISNUMBER(A377),TEXT(A377,"ddd"),"")</f>
        <v/>
      </c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8" t="n"/>
      <c r="M377" s="26">
        <f>IF(OR(L377="",AND(E377&lt;&gt;"Up",E377&lt;&gt;"Down")),"",IF(OR(L377="In line",L377="Mixed"),"Neutral data",IF(OR(AND(L377="Hotter",E377="Down"),AND(L377="Cooler",E377="Up")),"With data","Against data")))</f>
        <v/>
      </c>
      <c r="N377" s="28" t="n"/>
      <c r="O377" s="27" t="n"/>
      <c r="P377" s="27" t="n"/>
      <c r="Q377" s="28" t="n"/>
      <c r="R377" s="27" t="n"/>
      <c r="S377" s="29" t="n"/>
      <c r="T377" s="27" t="n"/>
      <c r="U377" s="27" t="n"/>
      <c r="V377" s="26">
        <f>IF(OR(AND(E377&lt;&gt;"Up",E377&lt;&gt;"Down"),NOT(ISNUMBER(S377)),IF(E377="Up",Q377,R377)=""),"",IF(S377&gt;=100,"Back to open",IF(OR(IF(E377="Up",Q377,R377)="1-5 min",IF(E377="Up",Q377,R377)="5-15 min"),"Continued",IF(S377&gt;=50,"Partial retrace","Stalled / chop"))))</f>
        <v/>
      </c>
      <c r="W377" s="26">
        <f>IF(OR(Q377="",R377=""),"",IFERROR(IF(AND(Q377="Not by 16:00",R377="Not by 16:00"),"Neither taken",IF(FIND("|"&amp;Q377&amp;"|","|1-5 min|5-15 min|15-60 min|9:30-11:00|11:00-16:00|Not by 16:00|")=FIND("|"&amp;R377&amp;"|","|1-5 min|5-15 min|15-60 min|9:30-11:00|11:00-16:00|Not by 16:00|"),"Same window",IF(FIND("|"&amp;Q377&amp;"|","|1-5 min|5-15 min|15-60 min|9:30-11:00|11:00-16:00|Not by 16:00|")&lt;FIND("|"&amp;R377&amp;"|","|1-5 min|5-15 min|15-60 min|9:30-11:00|11:00-16:00|Not by 16:00|"),IF(E377="Up","High first (main side)",IF(E377="Down","High first (wick side)","High first")),IF(E377="Down","Low first (main side)",IF(E377="Up","Low first (wick side)","Low first"))))),"Check entries"))</f>
        <v/>
      </c>
      <c r="X377" s="28" t="n"/>
      <c r="Y377" s="27" t="n"/>
      <c r="Z377" s="27" t="n"/>
      <c r="AA377" s="27" t="n"/>
      <c r="AB377" s="27" t="n"/>
      <c r="AC377" s="27" t="n"/>
      <c r="AD377" s="27" t="n"/>
      <c r="AE377" s="28" t="n"/>
      <c r="AF377" s="30" t="n"/>
      <c r="AG377" s="27" t="n"/>
    </row>
    <row r="378">
      <c r="A378" s="25" t="n"/>
      <c r="B378" s="26">
        <f>IF(ISNUMBER(A378),TEXT(A378,"ddd"),"")</f>
        <v/>
      </c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8" t="n"/>
      <c r="M378" s="26">
        <f>IF(OR(L378="",AND(E378&lt;&gt;"Up",E378&lt;&gt;"Down")),"",IF(OR(L378="In line",L378="Mixed"),"Neutral data",IF(OR(AND(L378="Hotter",E378="Down"),AND(L378="Cooler",E378="Up")),"With data","Against data")))</f>
        <v/>
      </c>
      <c r="N378" s="28" t="n"/>
      <c r="O378" s="27" t="n"/>
      <c r="P378" s="27" t="n"/>
      <c r="Q378" s="28" t="n"/>
      <c r="R378" s="27" t="n"/>
      <c r="S378" s="29" t="n"/>
      <c r="T378" s="27" t="n"/>
      <c r="U378" s="27" t="n"/>
      <c r="V378" s="26">
        <f>IF(OR(AND(E378&lt;&gt;"Up",E378&lt;&gt;"Down"),NOT(ISNUMBER(S378)),IF(E378="Up",Q378,R378)=""),"",IF(S378&gt;=100,"Back to open",IF(OR(IF(E378="Up",Q378,R378)="1-5 min",IF(E378="Up",Q378,R378)="5-15 min"),"Continued",IF(S378&gt;=50,"Partial retrace","Stalled / chop"))))</f>
        <v/>
      </c>
      <c r="W378" s="26">
        <f>IF(OR(Q378="",R378=""),"",IFERROR(IF(AND(Q378="Not by 16:00",R378="Not by 16:00"),"Neither taken",IF(FIND("|"&amp;Q378&amp;"|","|1-5 min|5-15 min|15-60 min|9:30-11:00|11:00-16:00|Not by 16:00|")=FIND("|"&amp;R378&amp;"|","|1-5 min|5-15 min|15-60 min|9:30-11:00|11:00-16:00|Not by 16:00|"),"Same window",IF(FIND("|"&amp;Q378&amp;"|","|1-5 min|5-15 min|15-60 min|9:30-11:00|11:00-16:00|Not by 16:00|")&lt;FIND("|"&amp;R378&amp;"|","|1-5 min|5-15 min|15-60 min|9:30-11:00|11:00-16:00|Not by 16:00|"),IF(E378="Up","High first (main side)",IF(E378="Down","High first (wick side)","High first")),IF(E378="Down","Low first (main side)",IF(E378="Up","Low first (wick side)","Low first"))))),"Check entries"))</f>
        <v/>
      </c>
      <c r="X378" s="28" t="n"/>
      <c r="Y378" s="27" t="n"/>
      <c r="Z378" s="27" t="n"/>
      <c r="AA378" s="27" t="n"/>
      <c r="AB378" s="27" t="n"/>
      <c r="AC378" s="27" t="n"/>
      <c r="AD378" s="27" t="n"/>
      <c r="AE378" s="28" t="n"/>
      <c r="AF378" s="30" t="n"/>
      <c r="AG378" s="27" t="n"/>
    </row>
    <row r="379">
      <c r="A379" s="25" t="n"/>
      <c r="B379" s="26">
        <f>IF(ISNUMBER(A379),TEXT(A379,"ddd"),"")</f>
        <v/>
      </c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8" t="n"/>
      <c r="M379" s="26">
        <f>IF(OR(L379="",AND(E379&lt;&gt;"Up",E379&lt;&gt;"Down")),"",IF(OR(L379="In line",L379="Mixed"),"Neutral data",IF(OR(AND(L379="Hotter",E379="Down"),AND(L379="Cooler",E379="Up")),"With data","Against data")))</f>
        <v/>
      </c>
      <c r="N379" s="28" t="n"/>
      <c r="O379" s="27" t="n"/>
      <c r="P379" s="27" t="n"/>
      <c r="Q379" s="28" t="n"/>
      <c r="R379" s="27" t="n"/>
      <c r="S379" s="29" t="n"/>
      <c r="T379" s="27" t="n"/>
      <c r="U379" s="27" t="n"/>
      <c r="V379" s="26">
        <f>IF(OR(AND(E379&lt;&gt;"Up",E379&lt;&gt;"Down"),NOT(ISNUMBER(S379)),IF(E379="Up",Q379,R379)=""),"",IF(S379&gt;=100,"Back to open",IF(OR(IF(E379="Up",Q379,R379)="1-5 min",IF(E379="Up",Q379,R379)="5-15 min"),"Continued",IF(S379&gt;=50,"Partial retrace","Stalled / chop"))))</f>
        <v/>
      </c>
      <c r="W379" s="26">
        <f>IF(OR(Q379="",R379=""),"",IFERROR(IF(AND(Q379="Not by 16:00",R379="Not by 16:00"),"Neither taken",IF(FIND("|"&amp;Q379&amp;"|","|1-5 min|5-15 min|15-60 min|9:30-11:00|11:00-16:00|Not by 16:00|")=FIND("|"&amp;R379&amp;"|","|1-5 min|5-15 min|15-60 min|9:30-11:00|11:00-16:00|Not by 16:00|"),"Same window",IF(FIND("|"&amp;Q379&amp;"|","|1-5 min|5-15 min|15-60 min|9:30-11:00|11:00-16:00|Not by 16:00|")&lt;FIND("|"&amp;R379&amp;"|","|1-5 min|5-15 min|15-60 min|9:30-11:00|11:00-16:00|Not by 16:00|"),IF(E379="Up","High first (main side)",IF(E379="Down","High first (wick side)","High first")),IF(E379="Down","Low first (main side)",IF(E379="Up","Low first (wick side)","Low first"))))),"Check entries"))</f>
        <v/>
      </c>
      <c r="X379" s="28" t="n"/>
      <c r="Y379" s="27" t="n"/>
      <c r="Z379" s="27" t="n"/>
      <c r="AA379" s="27" t="n"/>
      <c r="AB379" s="27" t="n"/>
      <c r="AC379" s="27" t="n"/>
      <c r="AD379" s="27" t="n"/>
      <c r="AE379" s="28" t="n"/>
      <c r="AF379" s="30" t="n"/>
      <c r="AG379" s="27" t="n"/>
    </row>
    <row r="380">
      <c r="A380" s="25" t="n"/>
      <c r="B380" s="26">
        <f>IF(ISNUMBER(A380),TEXT(A380,"ddd"),"")</f>
        <v/>
      </c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8" t="n"/>
      <c r="M380" s="26">
        <f>IF(OR(L380="",AND(E380&lt;&gt;"Up",E380&lt;&gt;"Down")),"",IF(OR(L380="In line",L380="Mixed"),"Neutral data",IF(OR(AND(L380="Hotter",E380="Down"),AND(L380="Cooler",E380="Up")),"With data","Against data")))</f>
        <v/>
      </c>
      <c r="N380" s="28" t="n"/>
      <c r="O380" s="27" t="n"/>
      <c r="P380" s="27" t="n"/>
      <c r="Q380" s="28" t="n"/>
      <c r="R380" s="27" t="n"/>
      <c r="S380" s="29" t="n"/>
      <c r="T380" s="27" t="n"/>
      <c r="U380" s="27" t="n"/>
      <c r="V380" s="26">
        <f>IF(OR(AND(E380&lt;&gt;"Up",E380&lt;&gt;"Down"),NOT(ISNUMBER(S380)),IF(E380="Up",Q380,R380)=""),"",IF(S380&gt;=100,"Back to open",IF(OR(IF(E380="Up",Q380,R380)="1-5 min",IF(E380="Up",Q380,R380)="5-15 min"),"Continued",IF(S380&gt;=50,"Partial retrace","Stalled / chop"))))</f>
        <v/>
      </c>
      <c r="W380" s="26">
        <f>IF(OR(Q380="",R380=""),"",IFERROR(IF(AND(Q380="Not by 16:00",R380="Not by 16:00"),"Neither taken",IF(FIND("|"&amp;Q380&amp;"|","|1-5 min|5-15 min|15-60 min|9:30-11:00|11:00-16:00|Not by 16:00|")=FIND("|"&amp;R380&amp;"|","|1-5 min|5-15 min|15-60 min|9:30-11:00|11:00-16:00|Not by 16:00|"),"Same window",IF(FIND("|"&amp;Q380&amp;"|","|1-5 min|5-15 min|15-60 min|9:30-11:00|11:00-16:00|Not by 16:00|")&lt;FIND("|"&amp;R380&amp;"|","|1-5 min|5-15 min|15-60 min|9:30-11:00|11:00-16:00|Not by 16:00|"),IF(E380="Up","High first (main side)",IF(E380="Down","High first (wick side)","High first")),IF(E380="Down","Low first (main side)",IF(E380="Up","Low first (wick side)","Low first"))))),"Check entries"))</f>
        <v/>
      </c>
      <c r="X380" s="28" t="n"/>
      <c r="Y380" s="27" t="n"/>
      <c r="Z380" s="27" t="n"/>
      <c r="AA380" s="27" t="n"/>
      <c r="AB380" s="27" t="n"/>
      <c r="AC380" s="27" t="n"/>
      <c r="AD380" s="27" t="n"/>
      <c r="AE380" s="28" t="n"/>
      <c r="AF380" s="30" t="n"/>
      <c r="AG380" s="27" t="n"/>
    </row>
    <row r="381">
      <c r="A381" s="25" t="n"/>
      <c r="B381" s="26">
        <f>IF(ISNUMBER(A381),TEXT(A381,"ddd"),"")</f>
        <v/>
      </c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8" t="n"/>
      <c r="M381" s="26">
        <f>IF(OR(L381="",AND(E381&lt;&gt;"Up",E381&lt;&gt;"Down")),"",IF(OR(L381="In line",L381="Mixed"),"Neutral data",IF(OR(AND(L381="Hotter",E381="Down"),AND(L381="Cooler",E381="Up")),"With data","Against data")))</f>
        <v/>
      </c>
      <c r="N381" s="28" t="n"/>
      <c r="O381" s="27" t="n"/>
      <c r="P381" s="27" t="n"/>
      <c r="Q381" s="28" t="n"/>
      <c r="R381" s="27" t="n"/>
      <c r="S381" s="29" t="n"/>
      <c r="T381" s="27" t="n"/>
      <c r="U381" s="27" t="n"/>
      <c r="V381" s="26">
        <f>IF(OR(AND(E381&lt;&gt;"Up",E381&lt;&gt;"Down"),NOT(ISNUMBER(S381)),IF(E381="Up",Q381,R381)=""),"",IF(S381&gt;=100,"Back to open",IF(OR(IF(E381="Up",Q381,R381)="1-5 min",IF(E381="Up",Q381,R381)="5-15 min"),"Continued",IF(S381&gt;=50,"Partial retrace","Stalled / chop"))))</f>
        <v/>
      </c>
      <c r="W381" s="26">
        <f>IF(OR(Q381="",R381=""),"",IFERROR(IF(AND(Q381="Not by 16:00",R381="Not by 16:00"),"Neither taken",IF(FIND("|"&amp;Q381&amp;"|","|1-5 min|5-15 min|15-60 min|9:30-11:00|11:00-16:00|Not by 16:00|")=FIND("|"&amp;R381&amp;"|","|1-5 min|5-15 min|15-60 min|9:30-11:00|11:00-16:00|Not by 16:00|"),"Same window",IF(FIND("|"&amp;Q381&amp;"|","|1-5 min|5-15 min|15-60 min|9:30-11:00|11:00-16:00|Not by 16:00|")&lt;FIND("|"&amp;R381&amp;"|","|1-5 min|5-15 min|15-60 min|9:30-11:00|11:00-16:00|Not by 16:00|"),IF(E381="Up","High first (main side)",IF(E381="Down","High first (wick side)","High first")),IF(E381="Down","Low first (main side)",IF(E381="Up","Low first (wick side)","Low first"))))),"Check entries"))</f>
        <v/>
      </c>
      <c r="X381" s="28" t="n"/>
      <c r="Y381" s="27" t="n"/>
      <c r="Z381" s="27" t="n"/>
      <c r="AA381" s="27" t="n"/>
      <c r="AB381" s="27" t="n"/>
      <c r="AC381" s="27" t="n"/>
      <c r="AD381" s="27" t="n"/>
      <c r="AE381" s="28" t="n"/>
      <c r="AF381" s="30" t="n"/>
      <c r="AG381" s="27" t="n"/>
    </row>
    <row r="382">
      <c r="A382" s="25" t="n"/>
      <c r="B382" s="26">
        <f>IF(ISNUMBER(A382),TEXT(A382,"ddd"),"")</f>
        <v/>
      </c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8" t="n"/>
      <c r="M382" s="26">
        <f>IF(OR(L382="",AND(E382&lt;&gt;"Up",E382&lt;&gt;"Down")),"",IF(OR(L382="In line",L382="Mixed"),"Neutral data",IF(OR(AND(L382="Hotter",E382="Down"),AND(L382="Cooler",E382="Up")),"With data","Against data")))</f>
        <v/>
      </c>
      <c r="N382" s="28" t="n"/>
      <c r="O382" s="27" t="n"/>
      <c r="P382" s="27" t="n"/>
      <c r="Q382" s="28" t="n"/>
      <c r="R382" s="27" t="n"/>
      <c r="S382" s="29" t="n"/>
      <c r="T382" s="27" t="n"/>
      <c r="U382" s="27" t="n"/>
      <c r="V382" s="26">
        <f>IF(OR(AND(E382&lt;&gt;"Up",E382&lt;&gt;"Down"),NOT(ISNUMBER(S382)),IF(E382="Up",Q382,R382)=""),"",IF(S382&gt;=100,"Back to open",IF(OR(IF(E382="Up",Q382,R382)="1-5 min",IF(E382="Up",Q382,R382)="5-15 min"),"Continued",IF(S382&gt;=50,"Partial retrace","Stalled / chop"))))</f>
        <v/>
      </c>
      <c r="W382" s="26">
        <f>IF(OR(Q382="",R382=""),"",IFERROR(IF(AND(Q382="Not by 16:00",R382="Not by 16:00"),"Neither taken",IF(FIND("|"&amp;Q382&amp;"|","|1-5 min|5-15 min|15-60 min|9:30-11:00|11:00-16:00|Not by 16:00|")=FIND("|"&amp;R382&amp;"|","|1-5 min|5-15 min|15-60 min|9:30-11:00|11:00-16:00|Not by 16:00|"),"Same window",IF(FIND("|"&amp;Q382&amp;"|","|1-5 min|5-15 min|15-60 min|9:30-11:00|11:00-16:00|Not by 16:00|")&lt;FIND("|"&amp;R382&amp;"|","|1-5 min|5-15 min|15-60 min|9:30-11:00|11:00-16:00|Not by 16:00|"),IF(E382="Up","High first (main side)",IF(E382="Down","High first (wick side)","High first")),IF(E382="Down","Low first (main side)",IF(E382="Up","Low first (wick side)","Low first"))))),"Check entries"))</f>
        <v/>
      </c>
      <c r="X382" s="28" t="n"/>
      <c r="Y382" s="27" t="n"/>
      <c r="Z382" s="27" t="n"/>
      <c r="AA382" s="27" t="n"/>
      <c r="AB382" s="27" t="n"/>
      <c r="AC382" s="27" t="n"/>
      <c r="AD382" s="27" t="n"/>
      <c r="AE382" s="28" t="n"/>
      <c r="AF382" s="30" t="n"/>
      <c r="AG382" s="27" t="n"/>
    </row>
    <row r="383">
      <c r="A383" s="25" t="n"/>
      <c r="B383" s="26">
        <f>IF(ISNUMBER(A383),TEXT(A383,"ddd"),"")</f>
        <v/>
      </c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8" t="n"/>
      <c r="M383" s="26">
        <f>IF(OR(L383="",AND(E383&lt;&gt;"Up",E383&lt;&gt;"Down")),"",IF(OR(L383="In line",L383="Mixed"),"Neutral data",IF(OR(AND(L383="Hotter",E383="Down"),AND(L383="Cooler",E383="Up")),"With data","Against data")))</f>
        <v/>
      </c>
      <c r="N383" s="28" t="n"/>
      <c r="O383" s="27" t="n"/>
      <c r="P383" s="27" t="n"/>
      <c r="Q383" s="28" t="n"/>
      <c r="R383" s="27" t="n"/>
      <c r="S383" s="29" t="n"/>
      <c r="T383" s="27" t="n"/>
      <c r="U383" s="27" t="n"/>
      <c r="V383" s="26">
        <f>IF(OR(AND(E383&lt;&gt;"Up",E383&lt;&gt;"Down"),NOT(ISNUMBER(S383)),IF(E383="Up",Q383,R383)=""),"",IF(S383&gt;=100,"Back to open",IF(OR(IF(E383="Up",Q383,R383)="1-5 min",IF(E383="Up",Q383,R383)="5-15 min"),"Continued",IF(S383&gt;=50,"Partial retrace","Stalled / chop"))))</f>
        <v/>
      </c>
      <c r="W383" s="26">
        <f>IF(OR(Q383="",R383=""),"",IFERROR(IF(AND(Q383="Not by 16:00",R383="Not by 16:00"),"Neither taken",IF(FIND("|"&amp;Q383&amp;"|","|1-5 min|5-15 min|15-60 min|9:30-11:00|11:00-16:00|Not by 16:00|")=FIND("|"&amp;R383&amp;"|","|1-5 min|5-15 min|15-60 min|9:30-11:00|11:00-16:00|Not by 16:00|"),"Same window",IF(FIND("|"&amp;Q383&amp;"|","|1-5 min|5-15 min|15-60 min|9:30-11:00|11:00-16:00|Not by 16:00|")&lt;FIND("|"&amp;R383&amp;"|","|1-5 min|5-15 min|15-60 min|9:30-11:00|11:00-16:00|Not by 16:00|"),IF(E383="Up","High first (main side)",IF(E383="Down","High first (wick side)","High first")),IF(E383="Down","Low first (main side)",IF(E383="Up","Low first (wick side)","Low first"))))),"Check entries"))</f>
        <v/>
      </c>
      <c r="X383" s="28" t="n"/>
      <c r="Y383" s="27" t="n"/>
      <c r="Z383" s="27" t="n"/>
      <c r="AA383" s="27" t="n"/>
      <c r="AB383" s="27" t="n"/>
      <c r="AC383" s="27" t="n"/>
      <c r="AD383" s="27" t="n"/>
      <c r="AE383" s="28" t="n"/>
      <c r="AF383" s="30" t="n"/>
      <c r="AG383" s="27" t="n"/>
    </row>
    <row r="384">
      <c r="A384" s="25" t="n"/>
      <c r="B384" s="26">
        <f>IF(ISNUMBER(A384),TEXT(A384,"ddd"),"")</f>
        <v/>
      </c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8" t="n"/>
      <c r="M384" s="26">
        <f>IF(OR(L384="",AND(E384&lt;&gt;"Up",E384&lt;&gt;"Down")),"",IF(OR(L384="In line",L384="Mixed"),"Neutral data",IF(OR(AND(L384="Hotter",E384="Down"),AND(L384="Cooler",E384="Up")),"With data","Against data")))</f>
        <v/>
      </c>
      <c r="N384" s="28" t="n"/>
      <c r="O384" s="27" t="n"/>
      <c r="P384" s="27" t="n"/>
      <c r="Q384" s="28" t="n"/>
      <c r="R384" s="27" t="n"/>
      <c r="S384" s="29" t="n"/>
      <c r="T384" s="27" t="n"/>
      <c r="U384" s="27" t="n"/>
      <c r="V384" s="26">
        <f>IF(OR(AND(E384&lt;&gt;"Up",E384&lt;&gt;"Down"),NOT(ISNUMBER(S384)),IF(E384="Up",Q384,R384)=""),"",IF(S384&gt;=100,"Back to open",IF(OR(IF(E384="Up",Q384,R384)="1-5 min",IF(E384="Up",Q384,R384)="5-15 min"),"Continued",IF(S384&gt;=50,"Partial retrace","Stalled / chop"))))</f>
        <v/>
      </c>
      <c r="W384" s="26">
        <f>IF(OR(Q384="",R384=""),"",IFERROR(IF(AND(Q384="Not by 16:00",R384="Not by 16:00"),"Neither taken",IF(FIND("|"&amp;Q384&amp;"|","|1-5 min|5-15 min|15-60 min|9:30-11:00|11:00-16:00|Not by 16:00|")=FIND("|"&amp;R384&amp;"|","|1-5 min|5-15 min|15-60 min|9:30-11:00|11:00-16:00|Not by 16:00|"),"Same window",IF(FIND("|"&amp;Q384&amp;"|","|1-5 min|5-15 min|15-60 min|9:30-11:00|11:00-16:00|Not by 16:00|")&lt;FIND("|"&amp;R384&amp;"|","|1-5 min|5-15 min|15-60 min|9:30-11:00|11:00-16:00|Not by 16:00|"),IF(E384="Up","High first (main side)",IF(E384="Down","High first (wick side)","High first")),IF(E384="Down","Low first (main side)",IF(E384="Up","Low first (wick side)","Low first"))))),"Check entries"))</f>
        <v/>
      </c>
      <c r="X384" s="28" t="n"/>
      <c r="Y384" s="27" t="n"/>
      <c r="Z384" s="27" t="n"/>
      <c r="AA384" s="27" t="n"/>
      <c r="AB384" s="27" t="n"/>
      <c r="AC384" s="27" t="n"/>
      <c r="AD384" s="27" t="n"/>
      <c r="AE384" s="28" t="n"/>
      <c r="AF384" s="30" t="n"/>
      <c r="AG384" s="27" t="n"/>
    </row>
    <row r="385">
      <c r="A385" s="25" t="n"/>
      <c r="B385" s="26">
        <f>IF(ISNUMBER(A385),TEXT(A385,"ddd"),"")</f>
        <v/>
      </c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8" t="n"/>
      <c r="M385" s="26">
        <f>IF(OR(L385="",AND(E385&lt;&gt;"Up",E385&lt;&gt;"Down")),"",IF(OR(L385="In line",L385="Mixed"),"Neutral data",IF(OR(AND(L385="Hotter",E385="Down"),AND(L385="Cooler",E385="Up")),"With data","Against data")))</f>
        <v/>
      </c>
      <c r="N385" s="28" t="n"/>
      <c r="O385" s="27" t="n"/>
      <c r="P385" s="27" t="n"/>
      <c r="Q385" s="28" t="n"/>
      <c r="R385" s="27" t="n"/>
      <c r="S385" s="29" t="n"/>
      <c r="T385" s="27" t="n"/>
      <c r="U385" s="27" t="n"/>
      <c r="V385" s="26">
        <f>IF(OR(AND(E385&lt;&gt;"Up",E385&lt;&gt;"Down"),NOT(ISNUMBER(S385)),IF(E385="Up",Q385,R385)=""),"",IF(S385&gt;=100,"Back to open",IF(OR(IF(E385="Up",Q385,R385)="1-5 min",IF(E385="Up",Q385,R385)="5-15 min"),"Continued",IF(S385&gt;=50,"Partial retrace","Stalled / chop"))))</f>
        <v/>
      </c>
      <c r="W385" s="26">
        <f>IF(OR(Q385="",R385=""),"",IFERROR(IF(AND(Q385="Not by 16:00",R385="Not by 16:00"),"Neither taken",IF(FIND("|"&amp;Q385&amp;"|","|1-5 min|5-15 min|15-60 min|9:30-11:00|11:00-16:00|Not by 16:00|")=FIND("|"&amp;R385&amp;"|","|1-5 min|5-15 min|15-60 min|9:30-11:00|11:00-16:00|Not by 16:00|"),"Same window",IF(FIND("|"&amp;Q385&amp;"|","|1-5 min|5-15 min|15-60 min|9:30-11:00|11:00-16:00|Not by 16:00|")&lt;FIND("|"&amp;R385&amp;"|","|1-5 min|5-15 min|15-60 min|9:30-11:00|11:00-16:00|Not by 16:00|"),IF(E385="Up","High first (main side)",IF(E385="Down","High first (wick side)","High first")),IF(E385="Down","Low first (main side)",IF(E385="Up","Low first (wick side)","Low first"))))),"Check entries"))</f>
        <v/>
      </c>
      <c r="X385" s="28" t="n"/>
      <c r="Y385" s="27" t="n"/>
      <c r="Z385" s="27" t="n"/>
      <c r="AA385" s="27" t="n"/>
      <c r="AB385" s="27" t="n"/>
      <c r="AC385" s="27" t="n"/>
      <c r="AD385" s="27" t="n"/>
      <c r="AE385" s="28" t="n"/>
      <c r="AF385" s="30" t="n"/>
      <c r="AG385" s="27" t="n"/>
    </row>
    <row r="386">
      <c r="A386" s="25" t="n"/>
      <c r="B386" s="26">
        <f>IF(ISNUMBER(A386),TEXT(A386,"ddd"),"")</f>
        <v/>
      </c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8" t="n"/>
      <c r="M386" s="26">
        <f>IF(OR(L386="",AND(E386&lt;&gt;"Up",E386&lt;&gt;"Down")),"",IF(OR(L386="In line",L386="Mixed"),"Neutral data",IF(OR(AND(L386="Hotter",E386="Down"),AND(L386="Cooler",E386="Up")),"With data","Against data")))</f>
        <v/>
      </c>
      <c r="N386" s="28" t="n"/>
      <c r="O386" s="27" t="n"/>
      <c r="P386" s="27" t="n"/>
      <c r="Q386" s="28" t="n"/>
      <c r="R386" s="27" t="n"/>
      <c r="S386" s="29" t="n"/>
      <c r="T386" s="27" t="n"/>
      <c r="U386" s="27" t="n"/>
      <c r="V386" s="26">
        <f>IF(OR(AND(E386&lt;&gt;"Up",E386&lt;&gt;"Down"),NOT(ISNUMBER(S386)),IF(E386="Up",Q386,R386)=""),"",IF(S386&gt;=100,"Back to open",IF(OR(IF(E386="Up",Q386,R386)="1-5 min",IF(E386="Up",Q386,R386)="5-15 min"),"Continued",IF(S386&gt;=50,"Partial retrace","Stalled / chop"))))</f>
        <v/>
      </c>
      <c r="W386" s="26">
        <f>IF(OR(Q386="",R386=""),"",IFERROR(IF(AND(Q386="Not by 16:00",R386="Not by 16:00"),"Neither taken",IF(FIND("|"&amp;Q386&amp;"|","|1-5 min|5-15 min|15-60 min|9:30-11:00|11:00-16:00|Not by 16:00|")=FIND("|"&amp;R386&amp;"|","|1-5 min|5-15 min|15-60 min|9:30-11:00|11:00-16:00|Not by 16:00|"),"Same window",IF(FIND("|"&amp;Q386&amp;"|","|1-5 min|5-15 min|15-60 min|9:30-11:00|11:00-16:00|Not by 16:00|")&lt;FIND("|"&amp;R386&amp;"|","|1-5 min|5-15 min|15-60 min|9:30-11:00|11:00-16:00|Not by 16:00|"),IF(E386="Up","High first (main side)",IF(E386="Down","High first (wick side)","High first")),IF(E386="Down","Low first (main side)",IF(E386="Up","Low first (wick side)","Low first"))))),"Check entries"))</f>
        <v/>
      </c>
      <c r="X386" s="28" t="n"/>
      <c r="Y386" s="27" t="n"/>
      <c r="Z386" s="27" t="n"/>
      <c r="AA386" s="27" t="n"/>
      <c r="AB386" s="27" t="n"/>
      <c r="AC386" s="27" t="n"/>
      <c r="AD386" s="27" t="n"/>
      <c r="AE386" s="28" t="n"/>
      <c r="AF386" s="30" t="n"/>
      <c r="AG386" s="27" t="n"/>
    </row>
    <row r="387">
      <c r="A387" s="25" t="n"/>
      <c r="B387" s="26">
        <f>IF(ISNUMBER(A387),TEXT(A387,"ddd"),"")</f>
        <v/>
      </c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8" t="n"/>
      <c r="M387" s="26">
        <f>IF(OR(L387="",AND(E387&lt;&gt;"Up",E387&lt;&gt;"Down")),"",IF(OR(L387="In line",L387="Mixed"),"Neutral data",IF(OR(AND(L387="Hotter",E387="Down"),AND(L387="Cooler",E387="Up")),"With data","Against data")))</f>
        <v/>
      </c>
      <c r="N387" s="28" t="n"/>
      <c r="O387" s="27" t="n"/>
      <c r="P387" s="27" t="n"/>
      <c r="Q387" s="28" t="n"/>
      <c r="R387" s="27" t="n"/>
      <c r="S387" s="29" t="n"/>
      <c r="T387" s="27" t="n"/>
      <c r="U387" s="27" t="n"/>
      <c r="V387" s="26">
        <f>IF(OR(AND(E387&lt;&gt;"Up",E387&lt;&gt;"Down"),NOT(ISNUMBER(S387)),IF(E387="Up",Q387,R387)=""),"",IF(S387&gt;=100,"Back to open",IF(OR(IF(E387="Up",Q387,R387)="1-5 min",IF(E387="Up",Q387,R387)="5-15 min"),"Continued",IF(S387&gt;=50,"Partial retrace","Stalled / chop"))))</f>
        <v/>
      </c>
      <c r="W387" s="26">
        <f>IF(OR(Q387="",R387=""),"",IFERROR(IF(AND(Q387="Not by 16:00",R387="Not by 16:00"),"Neither taken",IF(FIND("|"&amp;Q387&amp;"|","|1-5 min|5-15 min|15-60 min|9:30-11:00|11:00-16:00|Not by 16:00|")=FIND("|"&amp;R387&amp;"|","|1-5 min|5-15 min|15-60 min|9:30-11:00|11:00-16:00|Not by 16:00|"),"Same window",IF(FIND("|"&amp;Q387&amp;"|","|1-5 min|5-15 min|15-60 min|9:30-11:00|11:00-16:00|Not by 16:00|")&lt;FIND("|"&amp;R387&amp;"|","|1-5 min|5-15 min|15-60 min|9:30-11:00|11:00-16:00|Not by 16:00|"),IF(E387="Up","High first (main side)",IF(E387="Down","High first (wick side)","High first")),IF(E387="Down","Low first (main side)",IF(E387="Up","Low first (wick side)","Low first"))))),"Check entries"))</f>
        <v/>
      </c>
      <c r="X387" s="28" t="n"/>
      <c r="Y387" s="27" t="n"/>
      <c r="Z387" s="27" t="n"/>
      <c r="AA387" s="27" t="n"/>
      <c r="AB387" s="27" t="n"/>
      <c r="AC387" s="27" t="n"/>
      <c r="AD387" s="27" t="n"/>
      <c r="AE387" s="28" t="n"/>
      <c r="AF387" s="30" t="n"/>
      <c r="AG387" s="27" t="n"/>
    </row>
    <row r="388">
      <c r="A388" s="25" t="n"/>
      <c r="B388" s="26">
        <f>IF(ISNUMBER(A388),TEXT(A388,"ddd"),"")</f>
        <v/>
      </c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8" t="n"/>
      <c r="M388" s="26">
        <f>IF(OR(L388="",AND(E388&lt;&gt;"Up",E388&lt;&gt;"Down")),"",IF(OR(L388="In line",L388="Mixed"),"Neutral data",IF(OR(AND(L388="Hotter",E388="Down"),AND(L388="Cooler",E388="Up")),"With data","Against data")))</f>
        <v/>
      </c>
      <c r="N388" s="28" t="n"/>
      <c r="O388" s="27" t="n"/>
      <c r="P388" s="27" t="n"/>
      <c r="Q388" s="28" t="n"/>
      <c r="R388" s="27" t="n"/>
      <c r="S388" s="29" t="n"/>
      <c r="T388" s="27" t="n"/>
      <c r="U388" s="27" t="n"/>
      <c r="V388" s="26">
        <f>IF(OR(AND(E388&lt;&gt;"Up",E388&lt;&gt;"Down"),NOT(ISNUMBER(S388)),IF(E388="Up",Q388,R388)=""),"",IF(S388&gt;=100,"Back to open",IF(OR(IF(E388="Up",Q388,R388)="1-5 min",IF(E388="Up",Q388,R388)="5-15 min"),"Continued",IF(S388&gt;=50,"Partial retrace","Stalled / chop"))))</f>
        <v/>
      </c>
      <c r="W388" s="26">
        <f>IF(OR(Q388="",R388=""),"",IFERROR(IF(AND(Q388="Not by 16:00",R388="Not by 16:00"),"Neither taken",IF(FIND("|"&amp;Q388&amp;"|","|1-5 min|5-15 min|15-60 min|9:30-11:00|11:00-16:00|Not by 16:00|")=FIND("|"&amp;R388&amp;"|","|1-5 min|5-15 min|15-60 min|9:30-11:00|11:00-16:00|Not by 16:00|"),"Same window",IF(FIND("|"&amp;Q388&amp;"|","|1-5 min|5-15 min|15-60 min|9:30-11:00|11:00-16:00|Not by 16:00|")&lt;FIND("|"&amp;R388&amp;"|","|1-5 min|5-15 min|15-60 min|9:30-11:00|11:00-16:00|Not by 16:00|"),IF(E388="Up","High first (main side)",IF(E388="Down","High first (wick side)","High first")),IF(E388="Down","Low first (main side)",IF(E388="Up","Low first (wick side)","Low first"))))),"Check entries"))</f>
        <v/>
      </c>
      <c r="X388" s="28" t="n"/>
      <c r="Y388" s="27" t="n"/>
      <c r="Z388" s="27" t="n"/>
      <c r="AA388" s="27" t="n"/>
      <c r="AB388" s="27" t="n"/>
      <c r="AC388" s="27" t="n"/>
      <c r="AD388" s="27" t="n"/>
      <c r="AE388" s="28" t="n"/>
      <c r="AF388" s="30" t="n"/>
      <c r="AG388" s="27" t="n"/>
    </row>
    <row r="389">
      <c r="A389" s="25" t="n"/>
      <c r="B389" s="26">
        <f>IF(ISNUMBER(A389),TEXT(A389,"ddd"),"")</f>
        <v/>
      </c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8" t="n"/>
      <c r="M389" s="26">
        <f>IF(OR(L389="",AND(E389&lt;&gt;"Up",E389&lt;&gt;"Down")),"",IF(OR(L389="In line",L389="Mixed"),"Neutral data",IF(OR(AND(L389="Hotter",E389="Down"),AND(L389="Cooler",E389="Up")),"With data","Against data")))</f>
        <v/>
      </c>
      <c r="N389" s="28" t="n"/>
      <c r="O389" s="27" t="n"/>
      <c r="P389" s="27" t="n"/>
      <c r="Q389" s="28" t="n"/>
      <c r="R389" s="27" t="n"/>
      <c r="S389" s="29" t="n"/>
      <c r="T389" s="27" t="n"/>
      <c r="U389" s="27" t="n"/>
      <c r="V389" s="26">
        <f>IF(OR(AND(E389&lt;&gt;"Up",E389&lt;&gt;"Down"),NOT(ISNUMBER(S389)),IF(E389="Up",Q389,R389)=""),"",IF(S389&gt;=100,"Back to open",IF(OR(IF(E389="Up",Q389,R389)="1-5 min",IF(E389="Up",Q389,R389)="5-15 min"),"Continued",IF(S389&gt;=50,"Partial retrace","Stalled / chop"))))</f>
        <v/>
      </c>
      <c r="W389" s="26">
        <f>IF(OR(Q389="",R389=""),"",IFERROR(IF(AND(Q389="Not by 16:00",R389="Not by 16:00"),"Neither taken",IF(FIND("|"&amp;Q389&amp;"|","|1-5 min|5-15 min|15-60 min|9:30-11:00|11:00-16:00|Not by 16:00|")=FIND("|"&amp;R389&amp;"|","|1-5 min|5-15 min|15-60 min|9:30-11:00|11:00-16:00|Not by 16:00|"),"Same window",IF(FIND("|"&amp;Q389&amp;"|","|1-5 min|5-15 min|15-60 min|9:30-11:00|11:00-16:00|Not by 16:00|")&lt;FIND("|"&amp;R389&amp;"|","|1-5 min|5-15 min|15-60 min|9:30-11:00|11:00-16:00|Not by 16:00|"),IF(E389="Up","High first (main side)",IF(E389="Down","High first (wick side)","High first")),IF(E389="Down","Low first (main side)",IF(E389="Up","Low first (wick side)","Low first"))))),"Check entries"))</f>
        <v/>
      </c>
      <c r="X389" s="28" t="n"/>
      <c r="Y389" s="27" t="n"/>
      <c r="Z389" s="27" t="n"/>
      <c r="AA389" s="27" t="n"/>
      <c r="AB389" s="27" t="n"/>
      <c r="AC389" s="27" t="n"/>
      <c r="AD389" s="27" t="n"/>
      <c r="AE389" s="28" t="n"/>
      <c r="AF389" s="30" t="n"/>
      <c r="AG389" s="27" t="n"/>
    </row>
    <row r="390">
      <c r="A390" s="25" t="n"/>
      <c r="B390" s="26">
        <f>IF(ISNUMBER(A390),TEXT(A390,"ddd"),"")</f>
        <v/>
      </c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8" t="n"/>
      <c r="M390" s="26">
        <f>IF(OR(L390="",AND(E390&lt;&gt;"Up",E390&lt;&gt;"Down")),"",IF(OR(L390="In line",L390="Mixed"),"Neutral data",IF(OR(AND(L390="Hotter",E390="Down"),AND(L390="Cooler",E390="Up")),"With data","Against data")))</f>
        <v/>
      </c>
      <c r="N390" s="28" t="n"/>
      <c r="O390" s="27" t="n"/>
      <c r="P390" s="27" t="n"/>
      <c r="Q390" s="28" t="n"/>
      <c r="R390" s="27" t="n"/>
      <c r="S390" s="29" t="n"/>
      <c r="T390" s="27" t="n"/>
      <c r="U390" s="27" t="n"/>
      <c r="V390" s="26">
        <f>IF(OR(AND(E390&lt;&gt;"Up",E390&lt;&gt;"Down"),NOT(ISNUMBER(S390)),IF(E390="Up",Q390,R390)=""),"",IF(S390&gt;=100,"Back to open",IF(OR(IF(E390="Up",Q390,R390)="1-5 min",IF(E390="Up",Q390,R390)="5-15 min"),"Continued",IF(S390&gt;=50,"Partial retrace","Stalled / chop"))))</f>
        <v/>
      </c>
      <c r="W390" s="26">
        <f>IF(OR(Q390="",R390=""),"",IFERROR(IF(AND(Q390="Not by 16:00",R390="Not by 16:00"),"Neither taken",IF(FIND("|"&amp;Q390&amp;"|","|1-5 min|5-15 min|15-60 min|9:30-11:00|11:00-16:00|Not by 16:00|")=FIND("|"&amp;R390&amp;"|","|1-5 min|5-15 min|15-60 min|9:30-11:00|11:00-16:00|Not by 16:00|"),"Same window",IF(FIND("|"&amp;Q390&amp;"|","|1-5 min|5-15 min|15-60 min|9:30-11:00|11:00-16:00|Not by 16:00|")&lt;FIND("|"&amp;R390&amp;"|","|1-5 min|5-15 min|15-60 min|9:30-11:00|11:00-16:00|Not by 16:00|"),IF(E390="Up","High first (main side)",IF(E390="Down","High first (wick side)","High first")),IF(E390="Down","Low first (main side)",IF(E390="Up","Low first (wick side)","Low first"))))),"Check entries"))</f>
        <v/>
      </c>
      <c r="X390" s="28" t="n"/>
      <c r="Y390" s="27" t="n"/>
      <c r="Z390" s="27" t="n"/>
      <c r="AA390" s="27" t="n"/>
      <c r="AB390" s="27" t="n"/>
      <c r="AC390" s="27" t="n"/>
      <c r="AD390" s="27" t="n"/>
      <c r="AE390" s="28" t="n"/>
      <c r="AF390" s="30" t="n"/>
      <c r="AG390" s="27" t="n"/>
    </row>
    <row r="391">
      <c r="A391" s="25" t="n"/>
      <c r="B391" s="26">
        <f>IF(ISNUMBER(A391),TEXT(A391,"ddd"),"")</f>
        <v/>
      </c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8" t="n"/>
      <c r="M391" s="26">
        <f>IF(OR(L391="",AND(E391&lt;&gt;"Up",E391&lt;&gt;"Down")),"",IF(OR(L391="In line",L391="Mixed"),"Neutral data",IF(OR(AND(L391="Hotter",E391="Down"),AND(L391="Cooler",E391="Up")),"With data","Against data")))</f>
        <v/>
      </c>
      <c r="N391" s="28" t="n"/>
      <c r="O391" s="27" t="n"/>
      <c r="P391" s="27" t="n"/>
      <c r="Q391" s="28" t="n"/>
      <c r="R391" s="27" t="n"/>
      <c r="S391" s="29" t="n"/>
      <c r="T391" s="27" t="n"/>
      <c r="U391" s="27" t="n"/>
      <c r="V391" s="26">
        <f>IF(OR(AND(E391&lt;&gt;"Up",E391&lt;&gt;"Down"),NOT(ISNUMBER(S391)),IF(E391="Up",Q391,R391)=""),"",IF(S391&gt;=100,"Back to open",IF(OR(IF(E391="Up",Q391,R391)="1-5 min",IF(E391="Up",Q391,R391)="5-15 min"),"Continued",IF(S391&gt;=50,"Partial retrace","Stalled / chop"))))</f>
        <v/>
      </c>
      <c r="W391" s="26">
        <f>IF(OR(Q391="",R391=""),"",IFERROR(IF(AND(Q391="Not by 16:00",R391="Not by 16:00"),"Neither taken",IF(FIND("|"&amp;Q391&amp;"|","|1-5 min|5-15 min|15-60 min|9:30-11:00|11:00-16:00|Not by 16:00|")=FIND("|"&amp;R391&amp;"|","|1-5 min|5-15 min|15-60 min|9:30-11:00|11:00-16:00|Not by 16:00|"),"Same window",IF(FIND("|"&amp;Q391&amp;"|","|1-5 min|5-15 min|15-60 min|9:30-11:00|11:00-16:00|Not by 16:00|")&lt;FIND("|"&amp;R391&amp;"|","|1-5 min|5-15 min|15-60 min|9:30-11:00|11:00-16:00|Not by 16:00|"),IF(E391="Up","High first (main side)",IF(E391="Down","High first (wick side)","High first")),IF(E391="Down","Low first (main side)",IF(E391="Up","Low first (wick side)","Low first"))))),"Check entries"))</f>
        <v/>
      </c>
      <c r="X391" s="28" t="n"/>
      <c r="Y391" s="27" t="n"/>
      <c r="Z391" s="27" t="n"/>
      <c r="AA391" s="27" t="n"/>
      <c r="AB391" s="27" t="n"/>
      <c r="AC391" s="27" t="n"/>
      <c r="AD391" s="27" t="n"/>
      <c r="AE391" s="28" t="n"/>
      <c r="AF391" s="30" t="n"/>
      <c r="AG391" s="27" t="n"/>
    </row>
    <row r="392">
      <c r="A392" s="25" t="n"/>
      <c r="B392" s="26">
        <f>IF(ISNUMBER(A392),TEXT(A392,"ddd"),"")</f>
        <v/>
      </c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8" t="n"/>
      <c r="M392" s="26">
        <f>IF(OR(L392="",AND(E392&lt;&gt;"Up",E392&lt;&gt;"Down")),"",IF(OR(L392="In line",L392="Mixed"),"Neutral data",IF(OR(AND(L392="Hotter",E392="Down"),AND(L392="Cooler",E392="Up")),"With data","Against data")))</f>
        <v/>
      </c>
      <c r="N392" s="28" t="n"/>
      <c r="O392" s="27" t="n"/>
      <c r="P392" s="27" t="n"/>
      <c r="Q392" s="28" t="n"/>
      <c r="R392" s="27" t="n"/>
      <c r="S392" s="29" t="n"/>
      <c r="T392" s="27" t="n"/>
      <c r="U392" s="27" t="n"/>
      <c r="V392" s="26">
        <f>IF(OR(AND(E392&lt;&gt;"Up",E392&lt;&gt;"Down"),NOT(ISNUMBER(S392)),IF(E392="Up",Q392,R392)=""),"",IF(S392&gt;=100,"Back to open",IF(OR(IF(E392="Up",Q392,R392)="1-5 min",IF(E392="Up",Q392,R392)="5-15 min"),"Continued",IF(S392&gt;=50,"Partial retrace","Stalled / chop"))))</f>
        <v/>
      </c>
      <c r="W392" s="26">
        <f>IF(OR(Q392="",R392=""),"",IFERROR(IF(AND(Q392="Not by 16:00",R392="Not by 16:00"),"Neither taken",IF(FIND("|"&amp;Q392&amp;"|","|1-5 min|5-15 min|15-60 min|9:30-11:00|11:00-16:00|Not by 16:00|")=FIND("|"&amp;R392&amp;"|","|1-5 min|5-15 min|15-60 min|9:30-11:00|11:00-16:00|Not by 16:00|"),"Same window",IF(FIND("|"&amp;Q392&amp;"|","|1-5 min|5-15 min|15-60 min|9:30-11:00|11:00-16:00|Not by 16:00|")&lt;FIND("|"&amp;R392&amp;"|","|1-5 min|5-15 min|15-60 min|9:30-11:00|11:00-16:00|Not by 16:00|"),IF(E392="Up","High first (main side)",IF(E392="Down","High first (wick side)","High first")),IF(E392="Down","Low first (main side)",IF(E392="Up","Low first (wick side)","Low first"))))),"Check entries"))</f>
        <v/>
      </c>
      <c r="X392" s="28" t="n"/>
      <c r="Y392" s="27" t="n"/>
      <c r="Z392" s="27" t="n"/>
      <c r="AA392" s="27" t="n"/>
      <c r="AB392" s="27" t="n"/>
      <c r="AC392" s="27" t="n"/>
      <c r="AD392" s="27" t="n"/>
      <c r="AE392" s="28" t="n"/>
      <c r="AF392" s="30" t="n"/>
      <c r="AG392" s="27" t="n"/>
    </row>
    <row r="393">
      <c r="A393" s="25" t="n"/>
      <c r="B393" s="26">
        <f>IF(ISNUMBER(A393),TEXT(A393,"ddd"),"")</f>
        <v/>
      </c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8" t="n"/>
      <c r="M393" s="26">
        <f>IF(OR(L393="",AND(E393&lt;&gt;"Up",E393&lt;&gt;"Down")),"",IF(OR(L393="In line",L393="Mixed"),"Neutral data",IF(OR(AND(L393="Hotter",E393="Down"),AND(L393="Cooler",E393="Up")),"With data","Against data")))</f>
        <v/>
      </c>
      <c r="N393" s="28" t="n"/>
      <c r="O393" s="27" t="n"/>
      <c r="P393" s="27" t="n"/>
      <c r="Q393" s="28" t="n"/>
      <c r="R393" s="27" t="n"/>
      <c r="S393" s="29" t="n"/>
      <c r="T393" s="27" t="n"/>
      <c r="U393" s="27" t="n"/>
      <c r="V393" s="26">
        <f>IF(OR(AND(E393&lt;&gt;"Up",E393&lt;&gt;"Down"),NOT(ISNUMBER(S393)),IF(E393="Up",Q393,R393)=""),"",IF(S393&gt;=100,"Back to open",IF(OR(IF(E393="Up",Q393,R393)="1-5 min",IF(E393="Up",Q393,R393)="5-15 min"),"Continued",IF(S393&gt;=50,"Partial retrace","Stalled / chop"))))</f>
        <v/>
      </c>
      <c r="W393" s="26">
        <f>IF(OR(Q393="",R393=""),"",IFERROR(IF(AND(Q393="Not by 16:00",R393="Not by 16:00"),"Neither taken",IF(FIND("|"&amp;Q393&amp;"|","|1-5 min|5-15 min|15-60 min|9:30-11:00|11:00-16:00|Not by 16:00|")=FIND("|"&amp;R393&amp;"|","|1-5 min|5-15 min|15-60 min|9:30-11:00|11:00-16:00|Not by 16:00|"),"Same window",IF(FIND("|"&amp;Q393&amp;"|","|1-5 min|5-15 min|15-60 min|9:30-11:00|11:00-16:00|Not by 16:00|")&lt;FIND("|"&amp;R393&amp;"|","|1-5 min|5-15 min|15-60 min|9:30-11:00|11:00-16:00|Not by 16:00|"),IF(E393="Up","High first (main side)",IF(E393="Down","High first (wick side)","High first")),IF(E393="Down","Low first (main side)",IF(E393="Up","Low first (wick side)","Low first"))))),"Check entries"))</f>
        <v/>
      </c>
      <c r="X393" s="28" t="n"/>
      <c r="Y393" s="27" t="n"/>
      <c r="Z393" s="27" t="n"/>
      <c r="AA393" s="27" t="n"/>
      <c r="AB393" s="27" t="n"/>
      <c r="AC393" s="27" t="n"/>
      <c r="AD393" s="27" t="n"/>
      <c r="AE393" s="28" t="n"/>
      <c r="AF393" s="30" t="n"/>
      <c r="AG393" s="27" t="n"/>
    </row>
    <row r="394">
      <c r="A394" s="25" t="n"/>
      <c r="B394" s="26">
        <f>IF(ISNUMBER(A394),TEXT(A394,"ddd"),"")</f>
        <v/>
      </c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8" t="n"/>
      <c r="M394" s="26">
        <f>IF(OR(L394="",AND(E394&lt;&gt;"Up",E394&lt;&gt;"Down")),"",IF(OR(L394="In line",L394="Mixed"),"Neutral data",IF(OR(AND(L394="Hotter",E394="Down"),AND(L394="Cooler",E394="Up")),"With data","Against data")))</f>
        <v/>
      </c>
      <c r="N394" s="28" t="n"/>
      <c r="O394" s="27" t="n"/>
      <c r="P394" s="27" t="n"/>
      <c r="Q394" s="28" t="n"/>
      <c r="R394" s="27" t="n"/>
      <c r="S394" s="29" t="n"/>
      <c r="T394" s="27" t="n"/>
      <c r="U394" s="27" t="n"/>
      <c r="V394" s="26">
        <f>IF(OR(AND(E394&lt;&gt;"Up",E394&lt;&gt;"Down"),NOT(ISNUMBER(S394)),IF(E394="Up",Q394,R394)=""),"",IF(S394&gt;=100,"Back to open",IF(OR(IF(E394="Up",Q394,R394)="1-5 min",IF(E394="Up",Q394,R394)="5-15 min"),"Continued",IF(S394&gt;=50,"Partial retrace","Stalled / chop"))))</f>
        <v/>
      </c>
      <c r="W394" s="26">
        <f>IF(OR(Q394="",R394=""),"",IFERROR(IF(AND(Q394="Not by 16:00",R394="Not by 16:00"),"Neither taken",IF(FIND("|"&amp;Q394&amp;"|","|1-5 min|5-15 min|15-60 min|9:30-11:00|11:00-16:00|Not by 16:00|")=FIND("|"&amp;R394&amp;"|","|1-5 min|5-15 min|15-60 min|9:30-11:00|11:00-16:00|Not by 16:00|"),"Same window",IF(FIND("|"&amp;Q394&amp;"|","|1-5 min|5-15 min|15-60 min|9:30-11:00|11:00-16:00|Not by 16:00|")&lt;FIND("|"&amp;R394&amp;"|","|1-5 min|5-15 min|15-60 min|9:30-11:00|11:00-16:00|Not by 16:00|"),IF(E394="Up","High first (main side)",IF(E394="Down","High first (wick side)","High first")),IF(E394="Down","Low first (main side)",IF(E394="Up","Low first (wick side)","Low first"))))),"Check entries"))</f>
        <v/>
      </c>
      <c r="X394" s="28" t="n"/>
      <c r="Y394" s="27" t="n"/>
      <c r="Z394" s="27" t="n"/>
      <c r="AA394" s="27" t="n"/>
      <c r="AB394" s="27" t="n"/>
      <c r="AC394" s="27" t="n"/>
      <c r="AD394" s="27" t="n"/>
      <c r="AE394" s="28" t="n"/>
      <c r="AF394" s="30" t="n"/>
      <c r="AG394" s="27" t="n"/>
    </row>
    <row r="395">
      <c r="A395" s="25" t="n"/>
      <c r="B395" s="26">
        <f>IF(ISNUMBER(A395),TEXT(A395,"ddd"),"")</f>
        <v/>
      </c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8" t="n"/>
      <c r="M395" s="26">
        <f>IF(OR(L395="",AND(E395&lt;&gt;"Up",E395&lt;&gt;"Down")),"",IF(OR(L395="In line",L395="Mixed"),"Neutral data",IF(OR(AND(L395="Hotter",E395="Down"),AND(L395="Cooler",E395="Up")),"With data","Against data")))</f>
        <v/>
      </c>
      <c r="N395" s="28" t="n"/>
      <c r="O395" s="27" t="n"/>
      <c r="P395" s="27" t="n"/>
      <c r="Q395" s="28" t="n"/>
      <c r="R395" s="27" t="n"/>
      <c r="S395" s="29" t="n"/>
      <c r="T395" s="27" t="n"/>
      <c r="U395" s="27" t="n"/>
      <c r="V395" s="26">
        <f>IF(OR(AND(E395&lt;&gt;"Up",E395&lt;&gt;"Down"),NOT(ISNUMBER(S395)),IF(E395="Up",Q395,R395)=""),"",IF(S395&gt;=100,"Back to open",IF(OR(IF(E395="Up",Q395,R395)="1-5 min",IF(E395="Up",Q395,R395)="5-15 min"),"Continued",IF(S395&gt;=50,"Partial retrace","Stalled / chop"))))</f>
        <v/>
      </c>
      <c r="W395" s="26">
        <f>IF(OR(Q395="",R395=""),"",IFERROR(IF(AND(Q395="Not by 16:00",R395="Not by 16:00"),"Neither taken",IF(FIND("|"&amp;Q395&amp;"|","|1-5 min|5-15 min|15-60 min|9:30-11:00|11:00-16:00|Not by 16:00|")=FIND("|"&amp;R395&amp;"|","|1-5 min|5-15 min|15-60 min|9:30-11:00|11:00-16:00|Not by 16:00|"),"Same window",IF(FIND("|"&amp;Q395&amp;"|","|1-5 min|5-15 min|15-60 min|9:30-11:00|11:00-16:00|Not by 16:00|")&lt;FIND("|"&amp;R395&amp;"|","|1-5 min|5-15 min|15-60 min|9:30-11:00|11:00-16:00|Not by 16:00|"),IF(E395="Up","High first (main side)",IF(E395="Down","High first (wick side)","High first")),IF(E395="Down","Low first (main side)",IF(E395="Up","Low first (wick side)","Low first"))))),"Check entries"))</f>
        <v/>
      </c>
      <c r="X395" s="28" t="n"/>
      <c r="Y395" s="27" t="n"/>
      <c r="Z395" s="27" t="n"/>
      <c r="AA395" s="27" t="n"/>
      <c r="AB395" s="27" t="n"/>
      <c r="AC395" s="27" t="n"/>
      <c r="AD395" s="27" t="n"/>
      <c r="AE395" s="28" t="n"/>
      <c r="AF395" s="30" t="n"/>
      <c r="AG395" s="27" t="n"/>
    </row>
    <row r="396">
      <c r="A396" s="25" t="n"/>
      <c r="B396" s="26">
        <f>IF(ISNUMBER(A396),TEXT(A396,"ddd"),"")</f>
        <v/>
      </c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8" t="n"/>
      <c r="M396" s="26">
        <f>IF(OR(L396="",AND(E396&lt;&gt;"Up",E396&lt;&gt;"Down")),"",IF(OR(L396="In line",L396="Mixed"),"Neutral data",IF(OR(AND(L396="Hotter",E396="Down"),AND(L396="Cooler",E396="Up")),"With data","Against data")))</f>
        <v/>
      </c>
      <c r="N396" s="28" t="n"/>
      <c r="O396" s="27" t="n"/>
      <c r="P396" s="27" t="n"/>
      <c r="Q396" s="28" t="n"/>
      <c r="R396" s="27" t="n"/>
      <c r="S396" s="29" t="n"/>
      <c r="T396" s="27" t="n"/>
      <c r="U396" s="27" t="n"/>
      <c r="V396" s="26">
        <f>IF(OR(AND(E396&lt;&gt;"Up",E396&lt;&gt;"Down"),NOT(ISNUMBER(S396)),IF(E396="Up",Q396,R396)=""),"",IF(S396&gt;=100,"Back to open",IF(OR(IF(E396="Up",Q396,R396)="1-5 min",IF(E396="Up",Q396,R396)="5-15 min"),"Continued",IF(S396&gt;=50,"Partial retrace","Stalled / chop"))))</f>
        <v/>
      </c>
      <c r="W396" s="26">
        <f>IF(OR(Q396="",R396=""),"",IFERROR(IF(AND(Q396="Not by 16:00",R396="Not by 16:00"),"Neither taken",IF(FIND("|"&amp;Q396&amp;"|","|1-5 min|5-15 min|15-60 min|9:30-11:00|11:00-16:00|Not by 16:00|")=FIND("|"&amp;R396&amp;"|","|1-5 min|5-15 min|15-60 min|9:30-11:00|11:00-16:00|Not by 16:00|"),"Same window",IF(FIND("|"&amp;Q396&amp;"|","|1-5 min|5-15 min|15-60 min|9:30-11:00|11:00-16:00|Not by 16:00|")&lt;FIND("|"&amp;R396&amp;"|","|1-5 min|5-15 min|15-60 min|9:30-11:00|11:00-16:00|Not by 16:00|"),IF(E396="Up","High first (main side)",IF(E396="Down","High first (wick side)","High first")),IF(E396="Down","Low first (main side)",IF(E396="Up","Low first (wick side)","Low first"))))),"Check entries"))</f>
        <v/>
      </c>
      <c r="X396" s="28" t="n"/>
      <c r="Y396" s="27" t="n"/>
      <c r="Z396" s="27" t="n"/>
      <c r="AA396" s="27" t="n"/>
      <c r="AB396" s="27" t="n"/>
      <c r="AC396" s="27" t="n"/>
      <c r="AD396" s="27" t="n"/>
      <c r="AE396" s="28" t="n"/>
      <c r="AF396" s="30" t="n"/>
      <c r="AG396" s="27" t="n"/>
    </row>
    <row r="397">
      <c r="A397" s="25" t="n"/>
      <c r="B397" s="26">
        <f>IF(ISNUMBER(A397),TEXT(A397,"ddd"),"")</f>
        <v/>
      </c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8" t="n"/>
      <c r="M397" s="26">
        <f>IF(OR(L397="",AND(E397&lt;&gt;"Up",E397&lt;&gt;"Down")),"",IF(OR(L397="In line",L397="Mixed"),"Neutral data",IF(OR(AND(L397="Hotter",E397="Down"),AND(L397="Cooler",E397="Up")),"With data","Against data")))</f>
        <v/>
      </c>
      <c r="N397" s="28" t="n"/>
      <c r="O397" s="27" t="n"/>
      <c r="P397" s="27" t="n"/>
      <c r="Q397" s="28" t="n"/>
      <c r="R397" s="27" t="n"/>
      <c r="S397" s="29" t="n"/>
      <c r="T397" s="27" t="n"/>
      <c r="U397" s="27" t="n"/>
      <c r="V397" s="26">
        <f>IF(OR(AND(E397&lt;&gt;"Up",E397&lt;&gt;"Down"),NOT(ISNUMBER(S397)),IF(E397="Up",Q397,R397)=""),"",IF(S397&gt;=100,"Back to open",IF(OR(IF(E397="Up",Q397,R397)="1-5 min",IF(E397="Up",Q397,R397)="5-15 min"),"Continued",IF(S397&gt;=50,"Partial retrace","Stalled / chop"))))</f>
        <v/>
      </c>
      <c r="W397" s="26">
        <f>IF(OR(Q397="",R397=""),"",IFERROR(IF(AND(Q397="Not by 16:00",R397="Not by 16:00"),"Neither taken",IF(FIND("|"&amp;Q397&amp;"|","|1-5 min|5-15 min|15-60 min|9:30-11:00|11:00-16:00|Not by 16:00|")=FIND("|"&amp;R397&amp;"|","|1-5 min|5-15 min|15-60 min|9:30-11:00|11:00-16:00|Not by 16:00|"),"Same window",IF(FIND("|"&amp;Q397&amp;"|","|1-5 min|5-15 min|15-60 min|9:30-11:00|11:00-16:00|Not by 16:00|")&lt;FIND("|"&amp;R397&amp;"|","|1-5 min|5-15 min|15-60 min|9:30-11:00|11:00-16:00|Not by 16:00|"),IF(E397="Up","High first (main side)",IF(E397="Down","High first (wick side)","High first")),IF(E397="Down","Low first (main side)",IF(E397="Up","Low first (wick side)","Low first"))))),"Check entries"))</f>
        <v/>
      </c>
      <c r="X397" s="28" t="n"/>
      <c r="Y397" s="27" t="n"/>
      <c r="Z397" s="27" t="n"/>
      <c r="AA397" s="27" t="n"/>
      <c r="AB397" s="27" t="n"/>
      <c r="AC397" s="27" t="n"/>
      <c r="AD397" s="27" t="n"/>
      <c r="AE397" s="28" t="n"/>
      <c r="AF397" s="30" t="n"/>
      <c r="AG397" s="27" t="n"/>
    </row>
    <row r="398">
      <c r="A398" s="25" t="n"/>
      <c r="B398" s="26">
        <f>IF(ISNUMBER(A398),TEXT(A398,"ddd"),"")</f>
        <v/>
      </c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8" t="n"/>
      <c r="M398" s="26">
        <f>IF(OR(L398="",AND(E398&lt;&gt;"Up",E398&lt;&gt;"Down")),"",IF(OR(L398="In line",L398="Mixed"),"Neutral data",IF(OR(AND(L398="Hotter",E398="Down"),AND(L398="Cooler",E398="Up")),"With data","Against data")))</f>
        <v/>
      </c>
      <c r="N398" s="28" t="n"/>
      <c r="O398" s="27" t="n"/>
      <c r="P398" s="27" t="n"/>
      <c r="Q398" s="28" t="n"/>
      <c r="R398" s="27" t="n"/>
      <c r="S398" s="29" t="n"/>
      <c r="T398" s="27" t="n"/>
      <c r="U398" s="27" t="n"/>
      <c r="V398" s="26">
        <f>IF(OR(AND(E398&lt;&gt;"Up",E398&lt;&gt;"Down"),NOT(ISNUMBER(S398)),IF(E398="Up",Q398,R398)=""),"",IF(S398&gt;=100,"Back to open",IF(OR(IF(E398="Up",Q398,R398)="1-5 min",IF(E398="Up",Q398,R398)="5-15 min"),"Continued",IF(S398&gt;=50,"Partial retrace","Stalled / chop"))))</f>
        <v/>
      </c>
      <c r="W398" s="26">
        <f>IF(OR(Q398="",R398=""),"",IFERROR(IF(AND(Q398="Not by 16:00",R398="Not by 16:00"),"Neither taken",IF(FIND("|"&amp;Q398&amp;"|","|1-5 min|5-15 min|15-60 min|9:30-11:00|11:00-16:00|Not by 16:00|")=FIND("|"&amp;R398&amp;"|","|1-5 min|5-15 min|15-60 min|9:30-11:00|11:00-16:00|Not by 16:00|"),"Same window",IF(FIND("|"&amp;Q398&amp;"|","|1-5 min|5-15 min|15-60 min|9:30-11:00|11:00-16:00|Not by 16:00|")&lt;FIND("|"&amp;R398&amp;"|","|1-5 min|5-15 min|15-60 min|9:30-11:00|11:00-16:00|Not by 16:00|"),IF(E398="Up","High first (main side)",IF(E398="Down","High first (wick side)","High first")),IF(E398="Down","Low first (main side)",IF(E398="Up","Low first (wick side)","Low first"))))),"Check entries"))</f>
        <v/>
      </c>
      <c r="X398" s="28" t="n"/>
      <c r="Y398" s="27" t="n"/>
      <c r="Z398" s="27" t="n"/>
      <c r="AA398" s="27" t="n"/>
      <c r="AB398" s="27" t="n"/>
      <c r="AC398" s="27" t="n"/>
      <c r="AD398" s="27" t="n"/>
      <c r="AE398" s="28" t="n"/>
      <c r="AF398" s="30" t="n"/>
      <c r="AG398" s="27" t="n"/>
    </row>
    <row r="399">
      <c r="A399" s="25" t="n"/>
      <c r="B399" s="26">
        <f>IF(ISNUMBER(A399),TEXT(A399,"ddd"),"")</f>
        <v/>
      </c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8" t="n"/>
      <c r="M399" s="26">
        <f>IF(OR(L399="",AND(E399&lt;&gt;"Up",E399&lt;&gt;"Down")),"",IF(OR(L399="In line",L399="Mixed"),"Neutral data",IF(OR(AND(L399="Hotter",E399="Down"),AND(L399="Cooler",E399="Up")),"With data","Against data")))</f>
        <v/>
      </c>
      <c r="N399" s="28" t="n"/>
      <c r="O399" s="27" t="n"/>
      <c r="P399" s="27" t="n"/>
      <c r="Q399" s="28" t="n"/>
      <c r="R399" s="27" t="n"/>
      <c r="S399" s="29" t="n"/>
      <c r="T399" s="27" t="n"/>
      <c r="U399" s="27" t="n"/>
      <c r="V399" s="26">
        <f>IF(OR(AND(E399&lt;&gt;"Up",E399&lt;&gt;"Down"),NOT(ISNUMBER(S399)),IF(E399="Up",Q399,R399)=""),"",IF(S399&gt;=100,"Back to open",IF(OR(IF(E399="Up",Q399,R399)="1-5 min",IF(E399="Up",Q399,R399)="5-15 min"),"Continued",IF(S399&gt;=50,"Partial retrace","Stalled / chop"))))</f>
        <v/>
      </c>
      <c r="W399" s="26">
        <f>IF(OR(Q399="",R399=""),"",IFERROR(IF(AND(Q399="Not by 16:00",R399="Not by 16:00"),"Neither taken",IF(FIND("|"&amp;Q399&amp;"|","|1-5 min|5-15 min|15-60 min|9:30-11:00|11:00-16:00|Not by 16:00|")=FIND("|"&amp;R399&amp;"|","|1-5 min|5-15 min|15-60 min|9:30-11:00|11:00-16:00|Not by 16:00|"),"Same window",IF(FIND("|"&amp;Q399&amp;"|","|1-5 min|5-15 min|15-60 min|9:30-11:00|11:00-16:00|Not by 16:00|")&lt;FIND("|"&amp;R399&amp;"|","|1-5 min|5-15 min|15-60 min|9:30-11:00|11:00-16:00|Not by 16:00|"),IF(E399="Up","High first (main side)",IF(E399="Down","High first (wick side)","High first")),IF(E399="Down","Low first (main side)",IF(E399="Up","Low first (wick side)","Low first"))))),"Check entries"))</f>
        <v/>
      </c>
      <c r="X399" s="28" t="n"/>
      <c r="Y399" s="27" t="n"/>
      <c r="Z399" s="27" t="n"/>
      <c r="AA399" s="27" t="n"/>
      <c r="AB399" s="27" t="n"/>
      <c r="AC399" s="27" t="n"/>
      <c r="AD399" s="27" t="n"/>
      <c r="AE399" s="28" t="n"/>
      <c r="AF399" s="30" t="n"/>
      <c r="AG399" s="27" t="n"/>
    </row>
    <row r="400">
      <c r="A400" s="25" t="n"/>
      <c r="B400" s="26">
        <f>IF(ISNUMBER(A400),TEXT(A400,"ddd"),"")</f>
        <v/>
      </c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8" t="n"/>
      <c r="M400" s="26">
        <f>IF(OR(L400="",AND(E400&lt;&gt;"Up",E400&lt;&gt;"Down")),"",IF(OR(L400="In line",L400="Mixed"),"Neutral data",IF(OR(AND(L400="Hotter",E400="Down"),AND(L400="Cooler",E400="Up")),"With data","Against data")))</f>
        <v/>
      </c>
      <c r="N400" s="28" t="n"/>
      <c r="O400" s="27" t="n"/>
      <c r="P400" s="27" t="n"/>
      <c r="Q400" s="28" t="n"/>
      <c r="R400" s="27" t="n"/>
      <c r="S400" s="29" t="n"/>
      <c r="T400" s="27" t="n"/>
      <c r="U400" s="27" t="n"/>
      <c r="V400" s="26">
        <f>IF(OR(AND(E400&lt;&gt;"Up",E400&lt;&gt;"Down"),NOT(ISNUMBER(S400)),IF(E400="Up",Q400,R400)=""),"",IF(S400&gt;=100,"Back to open",IF(OR(IF(E400="Up",Q400,R400)="1-5 min",IF(E400="Up",Q400,R400)="5-15 min"),"Continued",IF(S400&gt;=50,"Partial retrace","Stalled / chop"))))</f>
        <v/>
      </c>
      <c r="W400" s="26">
        <f>IF(OR(Q400="",R400=""),"",IFERROR(IF(AND(Q400="Not by 16:00",R400="Not by 16:00"),"Neither taken",IF(FIND("|"&amp;Q400&amp;"|","|1-5 min|5-15 min|15-60 min|9:30-11:00|11:00-16:00|Not by 16:00|")=FIND("|"&amp;R400&amp;"|","|1-5 min|5-15 min|15-60 min|9:30-11:00|11:00-16:00|Not by 16:00|"),"Same window",IF(FIND("|"&amp;Q400&amp;"|","|1-5 min|5-15 min|15-60 min|9:30-11:00|11:00-16:00|Not by 16:00|")&lt;FIND("|"&amp;R400&amp;"|","|1-5 min|5-15 min|15-60 min|9:30-11:00|11:00-16:00|Not by 16:00|"),IF(E400="Up","High first (main side)",IF(E400="Down","High first (wick side)","High first")),IF(E400="Down","Low first (main side)",IF(E400="Up","Low first (wick side)","Low first"))))),"Check entries"))</f>
        <v/>
      </c>
      <c r="X400" s="28" t="n"/>
      <c r="Y400" s="27" t="n"/>
      <c r="Z400" s="27" t="n"/>
      <c r="AA400" s="27" t="n"/>
      <c r="AB400" s="27" t="n"/>
      <c r="AC400" s="27" t="n"/>
      <c r="AD400" s="27" t="n"/>
      <c r="AE400" s="28" t="n"/>
      <c r="AF400" s="30" t="n"/>
      <c r="AG400" s="27" t="n"/>
    </row>
    <row r="401">
      <c r="A401" s="25" t="n"/>
      <c r="B401" s="26">
        <f>IF(ISNUMBER(A401),TEXT(A401,"ddd"),"")</f>
        <v/>
      </c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8" t="n"/>
      <c r="M401" s="26">
        <f>IF(OR(L401="",AND(E401&lt;&gt;"Up",E401&lt;&gt;"Down")),"",IF(OR(L401="In line",L401="Mixed"),"Neutral data",IF(OR(AND(L401="Hotter",E401="Down"),AND(L401="Cooler",E401="Up")),"With data","Against data")))</f>
        <v/>
      </c>
      <c r="N401" s="28" t="n"/>
      <c r="O401" s="27" t="n"/>
      <c r="P401" s="27" t="n"/>
      <c r="Q401" s="28" t="n"/>
      <c r="R401" s="27" t="n"/>
      <c r="S401" s="29" t="n"/>
      <c r="T401" s="27" t="n"/>
      <c r="U401" s="27" t="n"/>
      <c r="V401" s="26">
        <f>IF(OR(AND(E401&lt;&gt;"Up",E401&lt;&gt;"Down"),NOT(ISNUMBER(S401)),IF(E401="Up",Q401,R401)=""),"",IF(S401&gt;=100,"Back to open",IF(OR(IF(E401="Up",Q401,R401)="1-5 min",IF(E401="Up",Q401,R401)="5-15 min"),"Continued",IF(S401&gt;=50,"Partial retrace","Stalled / chop"))))</f>
        <v/>
      </c>
      <c r="W401" s="26">
        <f>IF(OR(Q401="",R401=""),"",IFERROR(IF(AND(Q401="Not by 16:00",R401="Not by 16:00"),"Neither taken",IF(FIND("|"&amp;Q401&amp;"|","|1-5 min|5-15 min|15-60 min|9:30-11:00|11:00-16:00|Not by 16:00|")=FIND("|"&amp;R401&amp;"|","|1-5 min|5-15 min|15-60 min|9:30-11:00|11:00-16:00|Not by 16:00|"),"Same window",IF(FIND("|"&amp;Q401&amp;"|","|1-5 min|5-15 min|15-60 min|9:30-11:00|11:00-16:00|Not by 16:00|")&lt;FIND("|"&amp;R401&amp;"|","|1-5 min|5-15 min|15-60 min|9:30-11:00|11:00-16:00|Not by 16:00|"),IF(E401="Up","High first (main side)",IF(E401="Down","High first (wick side)","High first")),IF(E401="Down","Low first (main side)",IF(E401="Up","Low first (wick side)","Low first"))))),"Check entries"))</f>
        <v/>
      </c>
      <c r="X401" s="28" t="n"/>
      <c r="Y401" s="27" t="n"/>
      <c r="Z401" s="27" t="n"/>
      <c r="AA401" s="27" t="n"/>
      <c r="AB401" s="27" t="n"/>
      <c r="AC401" s="27" t="n"/>
      <c r="AD401" s="27" t="n"/>
      <c r="AE401" s="28" t="n"/>
      <c r="AF401" s="30" t="n"/>
      <c r="AG401" s="27" t="n"/>
    </row>
    <row r="402">
      <c r="A402" s="25" t="n"/>
      <c r="B402" s="26">
        <f>IF(ISNUMBER(A402),TEXT(A402,"ddd"),"")</f>
        <v/>
      </c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8" t="n"/>
      <c r="M402" s="26">
        <f>IF(OR(L402="",AND(E402&lt;&gt;"Up",E402&lt;&gt;"Down")),"",IF(OR(L402="In line",L402="Mixed"),"Neutral data",IF(OR(AND(L402="Hotter",E402="Down"),AND(L402="Cooler",E402="Up")),"With data","Against data")))</f>
        <v/>
      </c>
      <c r="N402" s="28" t="n"/>
      <c r="O402" s="27" t="n"/>
      <c r="P402" s="27" t="n"/>
      <c r="Q402" s="28" t="n"/>
      <c r="R402" s="27" t="n"/>
      <c r="S402" s="29" t="n"/>
      <c r="T402" s="27" t="n"/>
      <c r="U402" s="27" t="n"/>
      <c r="V402" s="26">
        <f>IF(OR(AND(E402&lt;&gt;"Up",E402&lt;&gt;"Down"),NOT(ISNUMBER(S402)),IF(E402="Up",Q402,R402)=""),"",IF(S402&gt;=100,"Back to open",IF(OR(IF(E402="Up",Q402,R402)="1-5 min",IF(E402="Up",Q402,R402)="5-15 min"),"Continued",IF(S402&gt;=50,"Partial retrace","Stalled / chop"))))</f>
        <v/>
      </c>
      <c r="W402" s="26">
        <f>IF(OR(Q402="",R402=""),"",IFERROR(IF(AND(Q402="Not by 16:00",R402="Not by 16:00"),"Neither taken",IF(FIND("|"&amp;Q402&amp;"|","|1-5 min|5-15 min|15-60 min|9:30-11:00|11:00-16:00|Not by 16:00|")=FIND("|"&amp;R402&amp;"|","|1-5 min|5-15 min|15-60 min|9:30-11:00|11:00-16:00|Not by 16:00|"),"Same window",IF(FIND("|"&amp;Q402&amp;"|","|1-5 min|5-15 min|15-60 min|9:30-11:00|11:00-16:00|Not by 16:00|")&lt;FIND("|"&amp;R402&amp;"|","|1-5 min|5-15 min|15-60 min|9:30-11:00|11:00-16:00|Not by 16:00|"),IF(E402="Up","High first (main side)",IF(E402="Down","High first (wick side)","High first")),IF(E402="Down","Low first (main side)",IF(E402="Up","Low first (wick side)","Low first"))))),"Check entries"))</f>
        <v/>
      </c>
      <c r="X402" s="28" t="n"/>
      <c r="Y402" s="27" t="n"/>
      <c r="Z402" s="27" t="n"/>
      <c r="AA402" s="27" t="n"/>
      <c r="AB402" s="27" t="n"/>
      <c r="AC402" s="27" t="n"/>
      <c r="AD402" s="27" t="n"/>
      <c r="AE402" s="28" t="n"/>
      <c r="AF402" s="30" t="n"/>
      <c r="AG402" s="27" t="n"/>
    </row>
    <row r="403">
      <c r="A403" s="25" t="n"/>
      <c r="B403" s="26">
        <f>IF(ISNUMBER(A403),TEXT(A403,"ddd"),"")</f>
        <v/>
      </c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8" t="n"/>
      <c r="M403" s="26">
        <f>IF(OR(L403="",AND(E403&lt;&gt;"Up",E403&lt;&gt;"Down")),"",IF(OR(L403="In line",L403="Mixed"),"Neutral data",IF(OR(AND(L403="Hotter",E403="Down"),AND(L403="Cooler",E403="Up")),"With data","Against data")))</f>
        <v/>
      </c>
      <c r="N403" s="28" t="n"/>
      <c r="O403" s="27" t="n"/>
      <c r="P403" s="27" t="n"/>
      <c r="Q403" s="28" t="n"/>
      <c r="R403" s="27" t="n"/>
      <c r="S403" s="29" t="n"/>
      <c r="T403" s="27" t="n"/>
      <c r="U403" s="27" t="n"/>
      <c r="V403" s="26">
        <f>IF(OR(AND(E403&lt;&gt;"Up",E403&lt;&gt;"Down"),NOT(ISNUMBER(S403)),IF(E403="Up",Q403,R403)=""),"",IF(S403&gt;=100,"Back to open",IF(OR(IF(E403="Up",Q403,R403)="1-5 min",IF(E403="Up",Q403,R403)="5-15 min"),"Continued",IF(S403&gt;=50,"Partial retrace","Stalled / chop"))))</f>
        <v/>
      </c>
      <c r="W403" s="26">
        <f>IF(OR(Q403="",R403=""),"",IFERROR(IF(AND(Q403="Not by 16:00",R403="Not by 16:00"),"Neither taken",IF(FIND("|"&amp;Q403&amp;"|","|1-5 min|5-15 min|15-60 min|9:30-11:00|11:00-16:00|Not by 16:00|")=FIND("|"&amp;R403&amp;"|","|1-5 min|5-15 min|15-60 min|9:30-11:00|11:00-16:00|Not by 16:00|"),"Same window",IF(FIND("|"&amp;Q403&amp;"|","|1-5 min|5-15 min|15-60 min|9:30-11:00|11:00-16:00|Not by 16:00|")&lt;FIND("|"&amp;R403&amp;"|","|1-5 min|5-15 min|15-60 min|9:30-11:00|11:00-16:00|Not by 16:00|"),IF(E403="Up","High first (main side)",IF(E403="Down","High first (wick side)","High first")),IF(E403="Down","Low first (main side)",IF(E403="Up","Low first (wick side)","Low first"))))),"Check entries"))</f>
        <v/>
      </c>
      <c r="X403" s="28" t="n"/>
      <c r="Y403" s="27" t="n"/>
      <c r="Z403" s="27" t="n"/>
      <c r="AA403" s="27" t="n"/>
      <c r="AB403" s="27" t="n"/>
      <c r="AC403" s="27" t="n"/>
      <c r="AD403" s="27" t="n"/>
      <c r="AE403" s="28" t="n"/>
      <c r="AF403" s="30" t="n"/>
      <c r="AG403" s="27" t="n"/>
    </row>
    <row r="404">
      <c r="A404" s="25" t="n"/>
      <c r="B404" s="26">
        <f>IF(ISNUMBER(A404),TEXT(A404,"ddd"),"")</f>
        <v/>
      </c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8" t="n"/>
      <c r="M404" s="26">
        <f>IF(OR(L404="",AND(E404&lt;&gt;"Up",E404&lt;&gt;"Down")),"",IF(OR(L404="In line",L404="Mixed"),"Neutral data",IF(OR(AND(L404="Hotter",E404="Down"),AND(L404="Cooler",E404="Up")),"With data","Against data")))</f>
        <v/>
      </c>
      <c r="N404" s="28" t="n"/>
      <c r="O404" s="27" t="n"/>
      <c r="P404" s="27" t="n"/>
      <c r="Q404" s="28" t="n"/>
      <c r="R404" s="27" t="n"/>
      <c r="S404" s="29" t="n"/>
      <c r="T404" s="27" t="n"/>
      <c r="U404" s="27" t="n"/>
      <c r="V404" s="26">
        <f>IF(OR(AND(E404&lt;&gt;"Up",E404&lt;&gt;"Down"),NOT(ISNUMBER(S404)),IF(E404="Up",Q404,R404)=""),"",IF(S404&gt;=100,"Back to open",IF(OR(IF(E404="Up",Q404,R404)="1-5 min",IF(E404="Up",Q404,R404)="5-15 min"),"Continued",IF(S404&gt;=50,"Partial retrace","Stalled / chop"))))</f>
        <v/>
      </c>
      <c r="W404" s="26">
        <f>IF(OR(Q404="",R404=""),"",IFERROR(IF(AND(Q404="Not by 16:00",R404="Not by 16:00"),"Neither taken",IF(FIND("|"&amp;Q404&amp;"|","|1-5 min|5-15 min|15-60 min|9:30-11:00|11:00-16:00|Not by 16:00|")=FIND("|"&amp;R404&amp;"|","|1-5 min|5-15 min|15-60 min|9:30-11:00|11:00-16:00|Not by 16:00|"),"Same window",IF(FIND("|"&amp;Q404&amp;"|","|1-5 min|5-15 min|15-60 min|9:30-11:00|11:00-16:00|Not by 16:00|")&lt;FIND("|"&amp;R404&amp;"|","|1-5 min|5-15 min|15-60 min|9:30-11:00|11:00-16:00|Not by 16:00|"),IF(E404="Up","High first (main side)",IF(E404="Down","High first (wick side)","High first")),IF(E404="Down","Low first (main side)",IF(E404="Up","Low first (wick side)","Low first"))))),"Check entries"))</f>
        <v/>
      </c>
      <c r="X404" s="28" t="n"/>
      <c r="Y404" s="27" t="n"/>
      <c r="Z404" s="27" t="n"/>
      <c r="AA404" s="27" t="n"/>
      <c r="AB404" s="27" t="n"/>
      <c r="AC404" s="27" t="n"/>
      <c r="AD404" s="27" t="n"/>
      <c r="AE404" s="28" t="n"/>
      <c r="AF404" s="30" t="n"/>
      <c r="AG404" s="27" t="n"/>
    </row>
    <row r="405">
      <c r="A405" s="25" t="n"/>
      <c r="B405" s="26">
        <f>IF(ISNUMBER(A405),TEXT(A405,"ddd"),"")</f>
        <v/>
      </c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8" t="n"/>
      <c r="M405" s="26">
        <f>IF(OR(L405="",AND(E405&lt;&gt;"Up",E405&lt;&gt;"Down")),"",IF(OR(L405="In line",L405="Mixed"),"Neutral data",IF(OR(AND(L405="Hotter",E405="Down"),AND(L405="Cooler",E405="Up")),"With data","Against data")))</f>
        <v/>
      </c>
      <c r="N405" s="28" t="n"/>
      <c r="O405" s="27" t="n"/>
      <c r="P405" s="27" t="n"/>
      <c r="Q405" s="28" t="n"/>
      <c r="R405" s="27" t="n"/>
      <c r="S405" s="29" t="n"/>
      <c r="T405" s="27" t="n"/>
      <c r="U405" s="27" t="n"/>
      <c r="V405" s="26">
        <f>IF(OR(AND(E405&lt;&gt;"Up",E405&lt;&gt;"Down"),NOT(ISNUMBER(S405)),IF(E405="Up",Q405,R405)=""),"",IF(S405&gt;=100,"Back to open",IF(OR(IF(E405="Up",Q405,R405)="1-5 min",IF(E405="Up",Q405,R405)="5-15 min"),"Continued",IF(S405&gt;=50,"Partial retrace","Stalled / chop"))))</f>
        <v/>
      </c>
      <c r="W405" s="26">
        <f>IF(OR(Q405="",R405=""),"",IFERROR(IF(AND(Q405="Not by 16:00",R405="Not by 16:00"),"Neither taken",IF(FIND("|"&amp;Q405&amp;"|","|1-5 min|5-15 min|15-60 min|9:30-11:00|11:00-16:00|Not by 16:00|")=FIND("|"&amp;R405&amp;"|","|1-5 min|5-15 min|15-60 min|9:30-11:00|11:00-16:00|Not by 16:00|"),"Same window",IF(FIND("|"&amp;Q405&amp;"|","|1-5 min|5-15 min|15-60 min|9:30-11:00|11:00-16:00|Not by 16:00|")&lt;FIND("|"&amp;R405&amp;"|","|1-5 min|5-15 min|15-60 min|9:30-11:00|11:00-16:00|Not by 16:00|"),IF(E405="Up","High first (main side)",IF(E405="Down","High first (wick side)","High first")),IF(E405="Down","Low first (main side)",IF(E405="Up","Low first (wick side)","Low first"))))),"Check entries"))</f>
        <v/>
      </c>
      <c r="X405" s="28" t="n"/>
      <c r="Y405" s="27" t="n"/>
      <c r="Z405" s="27" t="n"/>
      <c r="AA405" s="27" t="n"/>
      <c r="AB405" s="27" t="n"/>
      <c r="AC405" s="27" t="n"/>
      <c r="AD405" s="27" t="n"/>
      <c r="AE405" s="28" t="n"/>
      <c r="AF405" s="30" t="n"/>
      <c r="AG405" s="27" t="n"/>
    </row>
    <row r="406">
      <c r="A406" s="25" t="n"/>
      <c r="B406" s="26">
        <f>IF(ISNUMBER(A406),TEXT(A406,"ddd"),"")</f>
        <v/>
      </c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8" t="n"/>
      <c r="M406" s="26">
        <f>IF(OR(L406="",AND(E406&lt;&gt;"Up",E406&lt;&gt;"Down")),"",IF(OR(L406="In line",L406="Mixed"),"Neutral data",IF(OR(AND(L406="Hotter",E406="Down"),AND(L406="Cooler",E406="Up")),"With data","Against data")))</f>
        <v/>
      </c>
      <c r="N406" s="28" t="n"/>
      <c r="O406" s="27" t="n"/>
      <c r="P406" s="27" t="n"/>
      <c r="Q406" s="28" t="n"/>
      <c r="R406" s="27" t="n"/>
      <c r="S406" s="29" t="n"/>
      <c r="T406" s="27" t="n"/>
      <c r="U406" s="27" t="n"/>
      <c r="V406" s="26">
        <f>IF(OR(AND(E406&lt;&gt;"Up",E406&lt;&gt;"Down"),NOT(ISNUMBER(S406)),IF(E406="Up",Q406,R406)=""),"",IF(S406&gt;=100,"Back to open",IF(OR(IF(E406="Up",Q406,R406)="1-5 min",IF(E406="Up",Q406,R406)="5-15 min"),"Continued",IF(S406&gt;=50,"Partial retrace","Stalled / chop"))))</f>
        <v/>
      </c>
      <c r="W406" s="26">
        <f>IF(OR(Q406="",R406=""),"",IFERROR(IF(AND(Q406="Not by 16:00",R406="Not by 16:00"),"Neither taken",IF(FIND("|"&amp;Q406&amp;"|","|1-5 min|5-15 min|15-60 min|9:30-11:00|11:00-16:00|Not by 16:00|")=FIND("|"&amp;R406&amp;"|","|1-5 min|5-15 min|15-60 min|9:30-11:00|11:00-16:00|Not by 16:00|"),"Same window",IF(FIND("|"&amp;Q406&amp;"|","|1-5 min|5-15 min|15-60 min|9:30-11:00|11:00-16:00|Not by 16:00|")&lt;FIND("|"&amp;R406&amp;"|","|1-5 min|5-15 min|15-60 min|9:30-11:00|11:00-16:00|Not by 16:00|"),IF(E406="Up","High first (main side)",IF(E406="Down","High first (wick side)","High first")),IF(E406="Down","Low first (main side)",IF(E406="Up","Low first (wick side)","Low first"))))),"Check entries"))</f>
        <v/>
      </c>
      <c r="X406" s="28" t="n"/>
      <c r="Y406" s="27" t="n"/>
      <c r="Z406" s="27" t="n"/>
      <c r="AA406" s="27" t="n"/>
      <c r="AB406" s="27" t="n"/>
      <c r="AC406" s="27" t="n"/>
      <c r="AD406" s="27" t="n"/>
      <c r="AE406" s="28" t="n"/>
      <c r="AF406" s="30" t="n"/>
      <c r="AG406" s="27" t="n"/>
    </row>
    <row r="407">
      <c r="A407" s="25" t="n"/>
      <c r="B407" s="26">
        <f>IF(ISNUMBER(A407),TEXT(A407,"ddd"),"")</f>
        <v/>
      </c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8" t="n"/>
      <c r="M407" s="26">
        <f>IF(OR(L407="",AND(E407&lt;&gt;"Up",E407&lt;&gt;"Down")),"",IF(OR(L407="In line",L407="Mixed"),"Neutral data",IF(OR(AND(L407="Hotter",E407="Down"),AND(L407="Cooler",E407="Up")),"With data","Against data")))</f>
        <v/>
      </c>
      <c r="N407" s="28" t="n"/>
      <c r="O407" s="27" t="n"/>
      <c r="P407" s="27" t="n"/>
      <c r="Q407" s="28" t="n"/>
      <c r="R407" s="27" t="n"/>
      <c r="S407" s="29" t="n"/>
      <c r="T407" s="27" t="n"/>
      <c r="U407" s="27" t="n"/>
      <c r="V407" s="26">
        <f>IF(OR(AND(E407&lt;&gt;"Up",E407&lt;&gt;"Down"),NOT(ISNUMBER(S407)),IF(E407="Up",Q407,R407)=""),"",IF(S407&gt;=100,"Back to open",IF(OR(IF(E407="Up",Q407,R407)="1-5 min",IF(E407="Up",Q407,R407)="5-15 min"),"Continued",IF(S407&gt;=50,"Partial retrace","Stalled / chop"))))</f>
        <v/>
      </c>
      <c r="W407" s="26">
        <f>IF(OR(Q407="",R407=""),"",IFERROR(IF(AND(Q407="Not by 16:00",R407="Not by 16:00"),"Neither taken",IF(FIND("|"&amp;Q407&amp;"|","|1-5 min|5-15 min|15-60 min|9:30-11:00|11:00-16:00|Not by 16:00|")=FIND("|"&amp;R407&amp;"|","|1-5 min|5-15 min|15-60 min|9:30-11:00|11:00-16:00|Not by 16:00|"),"Same window",IF(FIND("|"&amp;Q407&amp;"|","|1-5 min|5-15 min|15-60 min|9:30-11:00|11:00-16:00|Not by 16:00|")&lt;FIND("|"&amp;R407&amp;"|","|1-5 min|5-15 min|15-60 min|9:30-11:00|11:00-16:00|Not by 16:00|"),IF(E407="Up","High first (main side)",IF(E407="Down","High first (wick side)","High first")),IF(E407="Down","Low first (main side)",IF(E407="Up","Low first (wick side)","Low first"))))),"Check entries"))</f>
        <v/>
      </c>
      <c r="X407" s="28" t="n"/>
      <c r="Y407" s="27" t="n"/>
      <c r="Z407" s="27" t="n"/>
      <c r="AA407" s="27" t="n"/>
      <c r="AB407" s="27" t="n"/>
      <c r="AC407" s="27" t="n"/>
      <c r="AD407" s="27" t="n"/>
      <c r="AE407" s="28" t="n"/>
      <c r="AF407" s="30" t="n"/>
      <c r="AG407" s="27" t="n"/>
    </row>
    <row r="408">
      <c r="A408" s="25" t="n"/>
      <c r="B408" s="26">
        <f>IF(ISNUMBER(A408),TEXT(A408,"ddd"),"")</f>
        <v/>
      </c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8" t="n"/>
      <c r="M408" s="26">
        <f>IF(OR(L408="",AND(E408&lt;&gt;"Up",E408&lt;&gt;"Down")),"",IF(OR(L408="In line",L408="Mixed"),"Neutral data",IF(OR(AND(L408="Hotter",E408="Down"),AND(L408="Cooler",E408="Up")),"With data","Against data")))</f>
        <v/>
      </c>
      <c r="N408" s="28" t="n"/>
      <c r="O408" s="27" t="n"/>
      <c r="P408" s="27" t="n"/>
      <c r="Q408" s="28" t="n"/>
      <c r="R408" s="27" t="n"/>
      <c r="S408" s="29" t="n"/>
      <c r="T408" s="27" t="n"/>
      <c r="U408" s="27" t="n"/>
      <c r="V408" s="26">
        <f>IF(OR(AND(E408&lt;&gt;"Up",E408&lt;&gt;"Down"),NOT(ISNUMBER(S408)),IF(E408="Up",Q408,R408)=""),"",IF(S408&gt;=100,"Back to open",IF(OR(IF(E408="Up",Q408,R408)="1-5 min",IF(E408="Up",Q408,R408)="5-15 min"),"Continued",IF(S408&gt;=50,"Partial retrace","Stalled / chop"))))</f>
        <v/>
      </c>
      <c r="W408" s="26">
        <f>IF(OR(Q408="",R408=""),"",IFERROR(IF(AND(Q408="Not by 16:00",R408="Not by 16:00"),"Neither taken",IF(FIND("|"&amp;Q408&amp;"|","|1-5 min|5-15 min|15-60 min|9:30-11:00|11:00-16:00|Not by 16:00|")=FIND("|"&amp;R408&amp;"|","|1-5 min|5-15 min|15-60 min|9:30-11:00|11:00-16:00|Not by 16:00|"),"Same window",IF(FIND("|"&amp;Q408&amp;"|","|1-5 min|5-15 min|15-60 min|9:30-11:00|11:00-16:00|Not by 16:00|")&lt;FIND("|"&amp;R408&amp;"|","|1-5 min|5-15 min|15-60 min|9:30-11:00|11:00-16:00|Not by 16:00|"),IF(E408="Up","High first (main side)",IF(E408="Down","High first (wick side)","High first")),IF(E408="Down","Low first (main side)",IF(E408="Up","Low first (wick side)","Low first"))))),"Check entries"))</f>
        <v/>
      </c>
      <c r="X408" s="28" t="n"/>
      <c r="Y408" s="27" t="n"/>
      <c r="Z408" s="27" t="n"/>
      <c r="AA408" s="27" t="n"/>
      <c r="AB408" s="27" t="n"/>
      <c r="AC408" s="27" t="n"/>
      <c r="AD408" s="27" t="n"/>
      <c r="AE408" s="28" t="n"/>
      <c r="AF408" s="30" t="n"/>
      <c r="AG408" s="27" t="n"/>
    </row>
    <row r="409">
      <c r="A409" s="25" t="n"/>
      <c r="B409" s="26">
        <f>IF(ISNUMBER(A409),TEXT(A409,"ddd"),"")</f>
        <v/>
      </c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8" t="n"/>
      <c r="M409" s="26">
        <f>IF(OR(L409="",AND(E409&lt;&gt;"Up",E409&lt;&gt;"Down")),"",IF(OR(L409="In line",L409="Mixed"),"Neutral data",IF(OR(AND(L409="Hotter",E409="Down"),AND(L409="Cooler",E409="Up")),"With data","Against data")))</f>
        <v/>
      </c>
      <c r="N409" s="28" t="n"/>
      <c r="O409" s="27" t="n"/>
      <c r="P409" s="27" t="n"/>
      <c r="Q409" s="28" t="n"/>
      <c r="R409" s="27" t="n"/>
      <c r="S409" s="29" t="n"/>
      <c r="T409" s="27" t="n"/>
      <c r="U409" s="27" t="n"/>
      <c r="V409" s="26">
        <f>IF(OR(AND(E409&lt;&gt;"Up",E409&lt;&gt;"Down"),NOT(ISNUMBER(S409)),IF(E409="Up",Q409,R409)=""),"",IF(S409&gt;=100,"Back to open",IF(OR(IF(E409="Up",Q409,R409)="1-5 min",IF(E409="Up",Q409,R409)="5-15 min"),"Continued",IF(S409&gt;=50,"Partial retrace","Stalled / chop"))))</f>
        <v/>
      </c>
      <c r="W409" s="26">
        <f>IF(OR(Q409="",R409=""),"",IFERROR(IF(AND(Q409="Not by 16:00",R409="Not by 16:00"),"Neither taken",IF(FIND("|"&amp;Q409&amp;"|","|1-5 min|5-15 min|15-60 min|9:30-11:00|11:00-16:00|Not by 16:00|")=FIND("|"&amp;R409&amp;"|","|1-5 min|5-15 min|15-60 min|9:30-11:00|11:00-16:00|Not by 16:00|"),"Same window",IF(FIND("|"&amp;Q409&amp;"|","|1-5 min|5-15 min|15-60 min|9:30-11:00|11:00-16:00|Not by 16:00|")&lt;FIND("|"&amp;R409&amp;"|","|1-5 min|5-15 min|15-60 min|9:30-11:00|11:00-16:00|Not by 16:00|"),IF(E409="Up","High first (main side)",IF(E409="Down","High first (wick side)","High first")),IF(E409="Down","Low first (main side)",IF(E409="Up","Low first (wick side)","Low first"))))),"Check entries"))</f>
        <v/>
      </c>
      <c r="X409" s="28" t="n"/>
      <c r="Y409" s="27" t="n"/>
      <c r="Z409" s="27" t="n"/>
      <c r="AA409" s="27" t="n"/>
      <c r="AB409" s="27" t="n"/>
      <c r="AC409" s="27" t="n"/>
      <c r="AD409" s="27" t="n"/>
      <c r="AE409" s="28" t="n"/>
      <c r="AF409" s="30" t="n"/>
      <c r="AG409" s="27" t="n"/>
    </row>
    <row r="410">
      <c r="A410" s="25" t="n"/>
      <c r="B410" s="26">
        <f>IF(ISNUMBER(A410),TEXT(A410,"ddd"),"")</f>
        <v/>
      </c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8" t="n"/>
      <c r="M410" s="26">
        <f>IF(OR(L410="",AND(E410&lt;&gt;"Up",E410&lt;&gt;"Down")),"",IF(OR(L410="In line",L410="Mixed"),"Neutral data",IF(OR(AND(L410="Hotter",E410="Down"),AND(L410="Cooler",E410="Up")),"With data","Against data")))</f>
        <v/>
      </c>
      <c r="N410" s="28" t="n"/>
      <c r="O410" s="27" t="n"/>
      <c r="P410" s="27" t="n"/>
      <c r="Q410" s="28" t="n"/>
      <c r="R410" s="27" t="n"/>
      <c r="S410" s="29" t="n"/>
      <c r="T410" s="27" t="n"/>
      <c r="U410" s="27" t="n"/>
      <c r="V410" s="26">
        <f>IF(OR(AND(E410&lt;&gt;"Up",E410&lt;&gt;"Down"),NOT(ISNUMBER(S410)),IF(E410="Up",Q410,R410)=""),"",IF(S410&gt;=100,"Back to open",IF(OR(IF(E410="Up",Q410,R410)="1-5 min",IF(E410="Up",Q410,R410)="5-15 min"),"Continued",IF(S410&gt;=50,"Partial retrace","Stalled / chop"))))</f>
        <v/>
      </c>
      <c r="W410" s="26">
        <f>IF(OR(Q410="",R410=""),"",IFERROR(IF(AND(Q410="Not by 16:00",R410="Not by 16:00"),"Neither taken",IF(FIND("|"&amp;Q410&amp;"|","|1-5 min|5-15 min|15-60 min|9:30-11:00|11:00-16:00|Not by 16:00|")=FIND("|"&amp;R410&amp;"|","|1-5 min|5-15 min|15-60 min|9:30-11:00|11:00-16:00|Not by 16:00|"),"Same window",IF(FIND("|"&amp;Q410&amp;"|","|1-5 min|5-15 min|15-60 min|9:30-11:00|11:00-16:00|Not by 16:00|")&lt;FIND("|"&amp;R410&amp;"|","|1-5 min|5-15 min|15-60 min|9:30-11:00|11:00-16:00|Not by 16:00|"),IF(E410="Up","High first (main side)",IF(E410="Down","High first (wick side)","High first")),IF(E410="Down","Low first (main side)",IF(E410="Up","Low first (wick side)","Low first"))))),"Check entries"))</f>
        <v/>
      </c>
      <c r="X410" s="28" t="n"/>
      <c r="Y410" s="27" t="n"/>
      <c r="Z410" s="27" t="n"/>
      <c r="AA410" s="27" t="n"/>
      <c r="AB410" s="27" t="n"/>
      <c r="AC410" s="27" t="n"/>
      <c r="AD410" s="27" t="n"/>
      <c r="AE410" s="28" t="n"/>
      <c r="AF410" s="30" t="n"/>
      <c r="AG410" s="27" t="n"/>
    </row>
    <row r="411">
      <c r="A411" s="25" t="n"/>
      <c r="B411" s="26">
        <f>IF(ISNUMBER(A411),TEXT(A411,"ddd"),"")</f>
        <v/>
      </c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8" t="n"/>
      <c r="M411" s="26">
        <f>IF(OR(L411="",AND(E411&lt;&gt;"Up",E411&lt;&gt;"Down")),"",IF(OR(L411="In line",L411="Mixed"),"Neutral data",IF(OR(AND(L411="Hotter",E411="Down"),AND(L411="Cooler",E411="Up")),"With data","Against data")))</f>
        <v/>
      </c>
      <c r="N411" s="28" t="n"/>
      <c r="O411" s="27" t="n"/>
      <c r="P411" s="27" t="n"/>
      <c r="Q411" s="28" t="n"/>
      <c r="R411" s="27" t="n"/>
      <c r="S411" s="29" t="n"/>
      <c r="T411" s="27" t="n"/>
      <c r="U411" s="27" t="n"/>
      <c r="V411" s="26">
        <f>IF(OR(AND(E411&lt;&gt;"Up",E411&lt;&gt;"Down"),NOT(ISNUMBER(S411)),IF(E411="Up",Q411,R411)=""),"",IF(S411&gt;=100,"Back to open",IF(OR(IF(E411="Up",Q411,R411)="1-5 min",IF(E411="Up",Q411,R411)="5-15 min"),"Continued",IF(S411&gt;=50,"Partial retrace","Stalled / chop"))))</f>
        <v/>
      </c>
      <c r="W411" s="26">
        <f>IF(OR(Q411="",R411=""),"",IFERROR(IF(AND(Q411="Not by 16:00",R411="Not by 16:00"),"Neither taken",IF(FIND("|"&amp;Q411&amp;"|","|1-5 min|5-15 min|15-60 min|9:30-11:00|11:00-16:00|Not by 16:00|")=FIND("|"&amp;R411&amp;"|","|1-5 min|5-15 min|15-60 min|9:30-11:00|11:00-16:00|Not by 16:00|"),"Same window",IF(FIND("|"&amp;Q411&amp;"|","|1-5 min|5-15 min|15-60 min|9:30-11:00|11:00-16:00|Not by 16:00|")&lt;FIND("|"&amp;R411&amp;"|","|1-5 min|5-15 min|15-60 min|9:30-11:00|11:00-16:00|Not by 16:00|"),IF(E411="Up","High first (main side)",IF(E411="Down","High first (wick side)","High first")),IF(E411="Down","Low first (main side)",IF(E411="Up","Low first (wick side)","Low first"))))),"Check entries"))</f>
        <v/>
      </c>
      <c r="X411" s="28" t="n"/>
      <c r="Y411" s="27" t="n"/>
      <c r="Z411" s="27" t="n"/>
      <c r="AA411" s="27" t="n"/>
      <c r="AB411" s="27" t="n"/>
      <c r="AC411" s="27" t="n"/>
      <c r="AD411" s="27" t="n"/>
      <c r="AE411" s="28" t="n"/>
      <c r="AF411" s="30" t="n"/>
      <c r="AG411" s="27" t="n"/>
    </row>
    <row r="412">
      <c r="A412" s="25" t="n"/>
      <c r="B412" s="26">
        <f>IF(ISNUMBER(A412),TEXT(A412,"ddd"),"")</f>
        <v/>
      </c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8" t="n"/>
      <c r="M412" s="26">
        <f>IF(OR(L412="",AND(E412&lt;&gt;"Up",E412&lt;&gt;"Down")),"",IF(OR(L412="In line",L412="Mixed"),"Neutral data",IF(OR(AND(L412="Hotter",E412="Down"),AND(L412="Cooler",E412="Up")),"With data","Against data")))</f>
        <v/>
      </c>
      <c r="N412" s="28" t="n"/>
      <c r="O412" s="27" t="n"/>
      <c r="P412" s="27" t="n"/>
      <c r="Q412" s="28" t="n"/>
      <c r="R412" s="27" t="n"/>
      <c r="S412" s="29" t="n"/>
      <c r="T412" s="27" t="n"/>
      <c r="U412" s="27" t="n"/>
      <c r="V412" s="26">
        <f>IF(OR(AND(E412&lt;&gt;"Up",E412&lt;&gt;"Down"),NOT(ISNUMBER(S412)),IF(E412="Up",Q412,R412)=""),"",IF(S412&gt;=100,"Back to open",IF(OR(IF(E412="Up",Q412,R412)="1-5 min",IF(E412="Up",Q412,R412)="5-15 min"),"Continued",IF(S412&gt;=50,"Partial retrace","Stalled / chop"))))</f>
        <v/>
      </c>
      <c r="W412" s="26">
        <f>IF(OR(Q412="",R412=""),"",IFERROR(IF(AND(Q412="Not by 16:00",R412="Not by 16:00"),"Neither taken",IF(FIND("|"&amp;Q412&amp;"|","|1-5 min|5-15 min|15-60 min|9:30-11:00|11:00-16:00|Not by 16:00|")=FIND("|"&amp;R412&amp;"|","|1-5 min|5-15 min|15-60 min|9:30-11:00|11:00-16:00|Not by 16:00|"),"Same window",IF(FIND("|"&amp;Q412&amp;"|","|1-5 min|5-15 min|15-60 min|9:30-11:00|11:00-16:00|Not by 16:00|")&lt;FIND("|"&amp;R412&amp;"|","|1-5 min|5-15 min|15-60 min|9:30-11:00|11:00-16:00|Not by 16:00|"),IF(E412="Up","High first (main side)",IF(E412="Down","High first (wick side)","High first")),IF(E412="Down","Low first (main side)",IF(E412="Up","Low first (wick side)","Low first"))))),"Check entries"))</f>
        <v/>
      </c>
      <c r="X412" s="28" t="n"/>
      <c r="Y412" s="27" t="n"/>
      <c r="Z412" s="27" t="n"/>
      <c r="AA412" s="27" t="n"/>
      <c r="AB412" s="27" t="n"/>
      <c r="AC412" s="27" t="n"/>
      <c r="AD412" s="27" t="n"/>
      <c r="AE412" s="28" t="n"/>
      <c r="AF412" s="30" t="n"/>
      <c r="AG412" s="27" t="n"/>
    </row>
    <row r="413">
      <c r="A413" s="25" t="n"/>
      <c r="B413" s="26">
        <f>IF(ISNUMBER(A413),TEXT(A413,"ddd"),"")</f>
        <v/>
      </c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8" t="n"/>
      <c r="M413" s="26">
        <f>IF(OR(L413="",AND(E413&lt;&gt;"Up",E413&lt;&gt;"Down")),"",IF(OR(L413="In line",L413="Mixed"),"Neutral data",IF(OR(AND(L413="Hotter",E413="Down"),AND(L413="Cooler",E413="Up")),"With data","Against data")))</f>
        <v/>
      </c>
      <c r="N413" s="28" t="n"/>
      <c r="O413" s="27" t="n"/>
      <c r="P413" s="27" t="n"/>
      <c r="Q413" s="28" t="n"/>
      <c r="R413" s="27" t="n"/>
      <c r="S413" s="29" t="n"/>
      <c r="T413" s="27" t="n"/>
      <c r="U413" s="27" t="n"/>
      <c r="V413" s="26">
        <f>IF(OR(AND(E413&lt;&gt;"Up",E413&lt;&gt;"Down"),NOT(ISNUMBER(S413)),IF(E413="Up",Q413,R413)=""),"",IF(S413&gt;=100,"Back to open",IF(OR(IF(E413="Up",Q413,R413)="1-5 min",IF(E413="Up",Q413,R413)="5-15 min"),"Continued",IF(S413&gt;=50,"Partial retrace","Stalled / chop"))))</f>
        <v/>
      </c>
      <c r="W413" s="26">
        <f>IF(OR(Q413="",R413=""),"",IFERROR(IF(AND(Q413="Not by 16:00",R413="Not by 16:00"),"Neither taken",IF(FIND("|"&amp;Q413&amp;"|","|1-5 min|5-15 min|15-60 min|9:30-11:00|11:00-16:00|Not by 16:00|")=FIND("|"&amp;R413&amp;"|","|1-5 min|5-15 min|15-60 min|9:30-11:00|11:00-16:00|Not by 16:00|"),"Same window",IF(FIND("|"&amp;Q413&amp;"|","|1-5 min|5-15 min|15-60 min|9:30-11:00|11:00-16:00|Not by 16:00|")&lt;FIND("|"&amp;R413&amp;"|","|1-5 min|5-15 min|15-60 min|9:30-11:00|11:00-16:00|Not by 16:00|"),IF(E413="Up","High first (main side)",IF(E413="Down","High first (wick side)","High first")),IF(E413="Down","Low first (main side)",IF(E413="Up","Low first (wick side)","Low first"))))),"Check entries"))</f>
        <v/>
      </c>
      <c r="X413" s="28" t="n"/>
      <c r="Y413" s="27" t="n"/>
      <c r="Z413" s="27" t="n"/>
      <c r="AA413" s="27" t="n"/>
      <c r="AB413" s="27" t="n"/>
      <c r="AC413" s="27" t="n"/>
      <c r="AD413" s="27" t="n"/>
      <c r="AE413" s="28" t="n"/>
      <c r="AF413" s="30" t="n"/>
      <c r="AG413" s="27" t="n"/>
    </row>
    <row r="414">
      <c r="A414" s="25" t="n"/>
      <c r="B414" s="26">
        <f>IF(ISNUMBER(A414),TEXT(A414,"ddd"),"")</f>
        <v/>
      </c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8" t="n"/>
      <c r="M414" s="26">
        <f>IF(OR(L414="",AND(E414&lt;&gt;"Up",E414&lt;&gt;"Down")),"",IF(OR(L414="In line",L414="Mixed"),"Neutral data",IF(OR(AND(L414="Hotter",E414="Down"),AND(L414="Cooler",E414="Up")),"With data","Against data")))</f>
        <v/>
      </c>
      <c r="N414" s="28" t="n"/>
      <c r="O414" s="27" t="n"/>
      <c r="P414" s="27" t="n"/>
      <c r="Q414" s="28" t="n"/>
      <c r="R414" s="27" t="n"/>
      <c r="S414" s="29" t="n"/>
      <c r="T414" s="27" t="n"/>
      <c r="U414" s="27" t="n"/>
      <c r="V414" s="26">
        <f>IF(OR(AND(E414&lt;&gt;"Up",E414&lt;&gt;"Down"),NOT(ISNUMBER(S414)),IF(E414="Up",Q414,R414)=""),"",IF(S414&gt;=100,"Back to open",IF(OR(IF(E414="Up",Q414,R414)="1-5 min",IF(E414="Up",Q414,R414)="5-15 min"),"Continued",IF(S414&gt;=50,"Partial retrace","Stalled / chop"))))</f>
        <v/>
      </c>
      <c r="W414" s="26">
        <f>IF(OR(Q414="",R414=""),"",IFERROR(IF(AND(Q414="Not by 16:00",R414="Not by 16:00"),"Neither taken",IF(FIND("|"&amp;Q414&amp;"|","|1-5 min|5-15 min|15-60 min|9:30-11:00|11:00-16:00|Not by 16:00|")=FIND("|"&amp;R414&amp;"|","|1-5 min|5-15 min|15-60 min|9:30-11:00|11:00-16:00|Not by 16:00|"),"Same window",IF(FIND("|"&amp;Q414&amp;"|","|1-5 min|5-15 min|15-60 min|9:30-11:00|11:00-16:00|Not by 16:00|")&lt;FIND("|"&amp;R414&amp;"|","|1-5 min|5-15 min|15-60 min|9:30-11:00|11:00-16:00|Not by 16:00|"),IF(E414="Up","High first (main side)",IF(E414="Down","High first (wick side)","High first")),IF(E414="Down","Low first (main side)",IF(E414="Up","Low first (wick side)","Low first"))))),"Check entries"))</f>
        <v/>
      </c>
      <c r="X414" s="28" t="n"/>
      <c r="Y414" s="27" t="n"/>
      <c r="Z414" s="27" t="n"/>
      <c r="AA414" s="27" t="n"/>
      <c r="AB414" s="27" t="n"/>
      <c r="AC414" s="27" t="n"/>
      <c r="AD414" s="27" t="n"/>
      <c r="AE414" s="28" t="n"/>
      <c r="AF414" s="30" t="n"/>
      <c r="AG414" s="27" t="n"/>
    </row>
    <row r="415">
      <c r="A415" s="25" t="n"/>
      <c r="B415" s="26">
        <f>IF(ISNUMBER(A415),TEXT(A415,"ddd"),"")</f>
        <v/>
      </c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8" t="n"/>
      <c r="M415" s="26">
        <f>IF(OR(L415="",AND(E415&lt;&gt;"Up",E415&lt;&gt;"Down")),"",IF(OR(L415="In line",L415="Mixed"),"Neutral data",IF(OR(AND(L415="Hotter",E415="Down"),AND(L415="Cooler",E415="Up")),"With data","Against data")))</f>
        <v/>
      </c>
      <c r="N415" s="28" t="n"/>
      <c r="O415" s="27" t="n"/>
      <c r="P415" s="27" t="n"/>
      <c r="Q415" s="28" t="n"/>
      <c r="R415" s="27" t="n"/>
      <c r="S415" s="29" t="n"/>
      <c r="T415" s="27" t="n"/>
      <c r="U415" s="27" t="n"/>
      <c r="V415" s="26">
        <f>IF(OR(AND(E415&lt;&gt;"Up",E415&lt;&gt;"Down"),NOT(ISNUMBER(S415)),IF(E415="Up",Q415,R415)=""),"",IF(S415&gt;=100,"Back to open",IF(OR(IF(E415="Up",Q415,R415)="1-5 min",IF(E415="Up",Q415,R415)="5-15 min"),"Continued",IF(S415&gt;=50,"Partial retrace","Stalled / chop"))))</f>
        <v/>
      </c>
      <c r="W415" s="26">
        <f>IF(OR(Q415="",R415=""),"",IFERROR(IF(AND(Q415="Not by 16:00",R415="Not by 16:00"),"Neither taken",IF(FIND("|"&amp;Q415&amp;"|","|1-5 min|5-15 min|15-60 min|9:30-11:00|11:00-16:00|Not by 16:00|")=FIND("|"&amp;R415&amp;"|","|1-5 min|5-15 min|15-60 min|9:30-11:00|11:00-16:00|Not by 16:00|"),"Same window",IF(FIND("|"&amp;Q415&amp;"|","|1-5 min|5-15 min|15-60 min|9:30-11:00|11:00-16:00|Not by 16:00|")&lt;FIND("|"&amp;R415&amp;"|","|1-5 min|5-15 min|15-60 min|9:30-11:00|11:00-16:00|Not by 16:00|"),IF(E415="Up","High first (main side)",IF(E415="Down","High first (wick side)","High first")),IF(E415="Down","Low first (main side)",IF(E415="Up","Low first (wick side)","Low first"))))),"Check entries"))</f>
        <v/>
      </c>
      <c r="X415" s="28" t="n"/>
      <c r="Y415" s="27" t="n"/>
      <c r="Z415" s="27" t="n"/>
      <c r="AA415" s="27" t="n"/>
      <c r="AB415" s="27" t="n"/>
      <c r="AC415" s="27" t="n"/>
      <c r="AD415" s="27" t="n"/>
      <c r="AE415" s="28" t="n"/>
      <c r="AF415" s="30" t="n"/>
      <c r="AG415" s="27" t="n"/>
    </row>
    <row r="416">
      <c r="A416" s="25" t="n"/>
      <c r="B416" s="26">
        <f>IF(ISNUMBER(A416),TEXT(A416,"ddd"),"")</f>
        <v/>
      </c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8" t="n"/>
      <c r="M416" s="26">
        <f>IF(OR(L416="",AND(E416&lt;&gt;"Up",E416&lt;&gt;"Down")),"",IF(OR(L416="In line",L416="Mixed"),"Neutral data",IF(OR(AND(L416="Hotter",E416="Down"),AND(L416="Cooler",E416="Up")),"With data","Against data")))</f>
        <v/>
      </c>
      <c r="N416" s="28" t="n"/>
      <c r="O416" s="27" t="n"/>
      <c r="P416" s="27" t="n"/>
      <c r="Q416" s="28" t="n"/>
      <c r="R416" s="27" t="n"/>
      <c r="S416" s="29" t="n"/>
      <c r="T416" s="27" t="n"/>
      <c r="U416" s="27" t="n"/>
      <c r="V416" s="26">
        <f>IF(OR(AND(E416&lt;&gt;"Up",E416&lt;&gt;"Down"),NOT(ISNUMBER(S416)),IF(E416="Up",Q416,R416)=""),"",IF(S416&gt;=100,"Back to open",IF(OR(IF(E416="Up",Q416,R416)="1-5 min",IF(E416="Up",Q416,R416)="5-15 min"),"Continued",IF(S416&gt;=50,"Partial retrace","Stalled / chop"))))</f>
        <v/>
      </c>
      <c r="W416" s="26">
        <f>IF(OR(Q416="",R416=""),"",IFERROR(IF(AND(Q416="Not by 16:00",R416="Not by 16:00"),"Neither taken",IF(FIND("|"&amp;Q416&amp;"|","|1-5 min|5-15 min|15-60 min|9:30-11:00|11:00-16:00|Not by 16:00|")=FIND("|"&amp;R416&amp;"|","|1-5 min|5-15 min|15-60 min|9:30-11:00|11:00-16:00|Not by 16:00|"),"Same window",IF(FIND("|"&amp;Q416&amp;"|","|1-5 min|5-15 min|15-60 min|9:30-11:00|11:00-16:00|Not by 16:00|")&lt;FIND("|"&amp;R416&amp;"|","|1-5 min|5-15 min|15-60 min|9:30-11:00|11:00-16:00|Not by 16:00|"),IF(E416="Up","High first (main side)",IF(E416="Down","High first (wick side)","High first")),IF(E416="Down","Low first (main side)",IF(E416="Up","Low first (wick side)","Low first"))))),"Check entries"))</f>
        <v/>
      </c>
      <c r="X416" s="28" t="n"/>
      <c r="Y416" s="27" t="n"/>
      <c r="Z416" s="27" t="n"/>
      <c r="AA416" s="27" t="n"/>
      <c r="AB416" s="27" t="n"/>
      <c r="AC416" s="27" t="n"/>
      <c r="AD416" s="27" t="n"/>
      <c r="AE416" s="28" t="n"/>
      <c r="AF416" s="30" t="n"/>
      <c r="AG416" s="27" t="n"/>
    </row>
    <row r="417">
      <c r="A417" s="25" t="n"/>
      <c r="B417" s="26">
        <f>IF(ISNUMBER(A417),TEXT(A417,"ddd"),"")</f>
        <v/>
      </c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8" t="n"/>
      <c r="M417" s="26">
        <f>IF(OR(L417="",AND(E417&lt;&gt;"Up",E417&lt;&gt;"Down")),"",IF(OR(L417="In line",L417="Mixed"),"Neutral data",IF(OR(AND(L417="Hotter",E417="Down"),AND(L417="Cooler",E417="Up")),"With data","Against data")))</f>
        <v/>
      </c>
      <c r="N417" s="28" t="n"/>
      <c r="O417" s="27" t="n"/>
      <c r="P417" s="27" t="n"/>
      <c r="Q417" s="28" t="n"/>
      <c r="R417" s="27" t="n"/>
      <c r="S417" s="29" t="n"/>
      <c r="T417" s="27" t="n"/>
      <c r="U417" s="27" t="n"/>
      <c r="V417" s="26">
        <f>IF(OR(AND(E417&lt;&gt;"Up",E417&lt;&gt;"Down"),NOT(ISNUMBER(S417)),IF(E417="Up",Q417,R417)=""),"",IF(S417&gt;=100,"Back to open",IF(OR(IF(E417="Up",Q417,R417)="1-5 min",IF(E417="Up",Q417,R417)="5-15 min"),"Continued",IF(S417&gt;=50,"Partial retrace","Stalled / chop"))))</f>
        <v/>
      </c>
      <c r="W417" s="26">
        <f>IF(OR(Q417="",R417=""),"",IFERROR(IF(AND(Q417="Not by 16:00",R417="Not by 16:00"),"Neither taken",IF(FIND("|"&amp;Q417&amp;"|","|1-5 min|5-15 min|15-60 min|9:30-11:00|11:00-16:00|Not by 16:00|")=FIND("|"&amp;R417&amp;"|","|1-5 min|5-15 min|15-60 min|9:30-11:00|11:00-16:00|Not by 16:00|"),"Same window",IF(FIND("|"&amp;Q417&amp;"|","|1-5 min|5-15 min|15-60 min|9:30-11:00|11:00-16:00|Not by 16:00|")&lt;FIND("|"&amp;R417&amp;"|","|1-5 min|5-15 min|15-60 min|9:30-11:00|11:00-16:00|Not by 16:00|"),IF(E417="Up","High first (main side)",IF(E417="Down","High first (wick side)","High first")),IF(E417="Down","Low first (main side)",IF(E417="Up","Low first (wick side)","Low first"))))),"Check entries"))</f>
        <v/>
      </c>
      <c r="X417" s="28" t="n"/>
      <c r="Y417" s="27" t="n"/>
      <c r="Z417" s="27" t="n"/>
      <c r="AA417" s="27" t="n"/>
      <c r="AB417" s="27" t="n"/>
      <c r="AC417" s="27" t="n"/>
      <c r="AD417" s="27" t="n"/>
      <c r="AE417" s="28" t="n"/>
      <c r="AF417" s="30" t="n"/>
      <c r="AG417" s="27" t="n"/>
    </row>
    <row r="418">
      <c r="A418" s="25" t="n"/>
      <c r="B418" s="26">
        <f>IF(ISNUMBER(A418),TEXT(A418,"ddd"),"")</f>
        <v/>
      </c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8" t="n"/>
      <c r="M418" s="26">
        <f>IF(OR(L418="",AND(E418&lt;&gt;"Up",E418&lt;&gt;"Down")),"",IF(OR(L418="In line",L418="Mixed"),"Neutral data",IF(OR(AND(L418="Hotter",E418="Down"),AND(L418="Cooler",E418="Up")),"With data","Against data")))</f>
        <v/>
      </c>
      <c r="N418" s="28" t="n"/>
      <c r="O418" s="27" t="n"/>
      <c r="P418" s="27" t="n"/>
      <c r="Q418" s="28" t="n"/>
      <c r="R418" s="27" t="n"/>
      <c r="S418" s="29" t="n"/>
      <c r="T418" s="27" t="n"/>
      <c r="U418" s="27" t="n"/>
      <c r="V418" s="26">
        <f>IF(OR(AND(E418&lt;&gt;"Up",E418&lt;&gt;"Down"),NOT(ISNUMBER(S418)),IF(E418="Up",Q418,R418)=""),"",IF(S418&gt;=100,"Back to open",IF(OR(IF(E418="Up",Q418,R418)="1-5 min",IF(E418="Up",Q418,R418)="5-15 min"),"Continued",IF(S418&gt;=50,"Partial retrace","Stalled / chop"))))</f>
        <v/>
      </c>
      <c r="W418" s="26">
        <f>IF(OR(Q418="",R418=""),"",IFERROR(IF(AND(Q418="Not by 16:00",R418="Not by 16:00"),"Neither taken",IF(FIND("|"&amp;Q418&amp;"|","|1-5 min|5-15 min|15-60 min|9:30-11:00|11:00-16:00|Not by 16:00|")=FIND("|"&amp;R418&amp;"|","|1-5 min|5-15 min|15-60 min|9:30-11:00|11:00-16:00|Not by 16:00|"),"Same window",IF(FIND("|"&amp;Q418&amp;"|","|1-5 min|5-15 min|15-60 min|9:30-11:00|11:00-16:00|Not by 16:00|")&lt;FIND("|"&amp;R418&amp;"|","|1-5 min|5-15 min|15-60 min|9:30-11:00|11:00-16:00|Not by 16:00|"),IF(E418="Up","High first (main side)",IF(E418="Down","High first (wick side)","High first")),IF(E418="Down","Low first (main side)",IF(E418="Up","Low first (wick side)","Low first"))))),"Check entries"))</f>
        <v/>
      </c>
      <c r="X418" s="28" t="n"/>
      <c r="Y418" s="27" t="n"/>
      <c r="Z418" s="27" t="n"/>
      <c r="AA418" s="27" t="n"/>
      <c r="AB418" s="27" t="n"/>
      <c r="AC418" s="27" t="n"/>
      <c r="AD418" s="27" t="n"/>
      <c r="AE418" s="28" t="n"/>
      <c r="AF418" s="30" t="n"/>
      <c r="AG418" s="27" t="n"/>
    </row>
    <row r="419">
      <c r="A419" s="25" t="n"/>
      <c r="B419" s="26">
        <f>IF(ISNUMBER(A419),TEXT(A419,"ddd"),"")</f>
        <v/>
      </c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8" t="n"/>
      <c r="M419" s="26">
        <f>IF(OR(L419="",AND(E419&lt;&gt;"Up",E419&lt;&gt;"Down")),"",IF(OR(L419="In line",L419="Mixed"),"Neutral data",IF(OR(AND(L419="Hotter",E419="Down"),AND(L419="Cooler",E419="Up")),"With data","Against data")))</f>
        <v/>
      </c>
      <c r="N419" s="28" t="n"/>
      <c r="O419" s="27" t="n"/>
      <c r="P419" s="27" t="n"/>
      <c r="Q419" s="28" t="n"/>
      <c r="R419" s="27" t="n"/>
      <c r="S419" s="29" t="n"/>
      <c r="T419" s="27" t="n"/>
      <c r="U419" s="27" t="n"/>
      <c r="V419" s="26">
        <f>IF(OR(AND(E419&lt;&gt;"Up",E419&lt;&gt;"Down"),NOT(ISNUMBER(S419)),IF(E419="Up",Q419,R419)=""),"",IF(S419&gt;=100,"Back to open",IF(OR(IF(E419="Up",Q419,R419)="1-5 min",IF(E419="Up",Q419,R419)="5-15 min"),"Continued",IF(S419&gt;=50,"Partial retrace","Stalled / chop"))))</f>
        <v/>
      </c>
      <c r="W419" s="26">
        <f>IF(OR(Q419="",R419=""),"",IFERROR(IF(AND(Q419="Not by 16:00",R419="Not by 16:00"),"Neither taken",IF(FIND("|"&amp;Q419&amp;"|","|1-5 min|5-15 min|15-60 min|9:30-11:00|11:00-16:00|Not by 16:00|")=FIND("|"&amp;R419&amp;"|","|1-5 min|5-15 min|15-60 min|9:30-11:00|11:00-16:00|Not by 16:00|"),"Same window",IF(FIND("|"&amp;Q419&amp;"|","|1-5 min|5-15 min|15-60 min|9:30-11:00|11:00-16:00|Not by 16:00|")&lt;FIND("|"&amp;R419&amp;"|","|1-5 min|5-15 min|15-60 min|9:30-11:00|11:00-16:00|Not by 16:00|"),IF(E419="Up","High first (main side)",IF(E419="Down","High first (wick side)","High first")),IF(E419="Down","Low first (main side)",IF(E419="Up","Low first (wick side)","Low first"))))),"Check entries"))</f>
        <v/>
      </c>
      <c r="X419" s="28" t="n"/>
      <c r="Y419" s="27" t="n"/>
      <c r="Z419" s="27" t="n"/>
      <c r="AA419" s="27" t="n"/>
      <c r="AB419" s="27" t="n"/>
      <c r="AC419" s="27" t="n"/>
      <c r="AD419" s="27" t="n"/>
      <c r="AE419" s="28" t="n"/>
      <c r="AF419" s="30" t="n"/>
      <c r="AG419" s="27" t="n"/>
    </row>
    <row r="420">
      <c r="A420" s="25" t="n"/>
      <c r="B420" s="26">
        <f>IF(ISNUMBER(A420),TEXT(A420,"ddd"),"")</f>
        <v/>
      </c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8" t="n"/>
      <c r="M420" s="26">
        <f>IF(OR(L420="",AND(E420&lt;&gt;"Up",E420&lt;&gt;"Down")),"",IF(OR(L420="In line",L420="Mixed"),"Neutral data",IF(OR(AND(L420="Hotter",E420="Down"),AND(L420="Cooler",E420="Up")),"With data","Against data")))</f>
        <v/>
      </c>
      <c r="N420" s="28" t="n"/>
      <c r="O420" s="27" t="n"/>
      <c r="P420" s="27" t="n"/>
      <c r="Q420" s="28" t="n"/>
      <c r="R420" s="27" t="n"/>
      <c r="S420" s="29" t="n"/>
      <c r="T420" s="27" t="n"/>
      <c r="U420" s="27" t="n"/>
      <c r="V420" s="26">
        <f>IF(OR(AND(E420&lt;&gt;"Up",E420&lt;&gt;"Down"),NOT(ISNUMBER(S420)),IF(E420="Up",Q420,R420)=""),"",IF(S420&gt;=100,"Back to open",IF(OR(IF(E420="Up",Q420,R420)="1-5 min",IF(E420="Up",Q420,R420)="5-15 min"),"Continued",IF(S420&gt;=50,"Partial retrace","Stalled / chop"))))</f>
        <v/>
      </c>
      <c r="W420" s="26">
        <f>IF(OR(Q420="",R420=""),"",IFERROR(IF(AND(Q420="Not by 16:00",R420="Not by 16:00"),"Neither taken",IF(FIND("|"&amp;Q420&amp;"|","|1-5 min|5-15 min|15-60 min|9:30-11:00|11:00-16:00|Not by 16:00|")=FIND("|"&amp;R420&amp;"|","|1-5 min|5-15 min|15-60 min|9:30-11:00|11:00-16:00|Not by 16:00|"),"Same window",IF(FIND("|"&amp;Q420&amp;"|","|1-5 min|5-15 min|15-60 min|9:30-11:00|11:00-16:00|Not by 16:00|")&lt;FIND("|"&amp;R420&amp;"|","|1-5 min|5-15 min|15-60 min|9:30-11:00|11:00-16:00|Not by 16:00|"),IF(E420="Up","High first (main side)",IF(E420="Down","High first (wick side)","High first")),IF(E420="Down","Low first (main side)",IF(E420="Up","Low first (wick side)","Low first"))))),"Check entries"))</f>
        <v/>
      </c>
      <c r="X420" s="28" t="n"/>
      <c r="Y420" s="27" t="n"/>
      <c r="Z420" s="27" t="n"/>
      <c r="AA420" s="27" t="n"/>
      <c r="AB420" s="27" t="n"/>
      <c r="AC420" s="27" t="n"/>
      <c r="AD420" s="27" t="n"/>
      <c r="AE420" s="28" t="n"/>
      <c r="AF420" s="30" t="n"/>
      <c r="AG420" s="27" t="n"/>
    </row>
    <row r="421">
      <c r="A421" s="25" t="n"/>
      <c r="B421" s="26">
        <f>IF(ISNUMBER(A421),TEXT(A421,"ddd"),"")</f>
        <v/>
      </c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8" t="n"/>
      <c r="M421" s="26">
        <f>IF(OR(L421="",AND(E421&lt;&gt;"Up",E421&lt;&gt;"Down")),"",IF(OR(L421="In line",L421="Mixed"),"Neutral data",IF(OR(AND(L421="Hotter",E421="Down"),AND(L421="Cooler",E421="Up")),"With data","Against data")))</f>
        <v/>
      </c>
      <c r="N421" s="28" t="n"/>
      <c r="O421" s="27" t="n"/>
      <c r="P421" s="27" t="n"/>
      <c r="Q421" s="28" t="n"/>
      <c r="R421" s="27" t="n"/>
      <c r="S421" s="29" t="n"/>
      <c r="T421" s="27" t="n"/>
      <c r="U421" s="27" t="n"/>
      <c r="V421" s="26">
        <f>IF(OR(AND(E421&lt;&gt;"Up",E421&lt;&gt;"Down"),NOT(ISNUMBER(S421)),IF(E421="Up",Q421,R421)=""),"",IF(S421&gt;=100,"Back to open",IF(OR(IF(E421="Up",Q421,R421)="1-5 min",IF(E421="Up",Q421,R421)="5-15 min"),"Continued",IF(S421&gt;=50,"Partial retrace","Stalled / chop"))))</f>
        <v/>
      </c>
      <c r="W421" s="26">
        <f>IF(OR(Q421="",R421=""),"",IFERROR(IF(AND(Q421="Not by 16:00",R421="Not by 16:00"),"Neither taken",IF(FIND("|"&amp;Q421&amp;"|","|1-5 min|5-15 min|15-60 min|9:30-11:00|11:00-16:00|Not by 16:00|")=FIND("|"&amp;R421&amp;"|","|1-5 min|5-15 min|15-60 min|9:30-11:00|11:00-16:00|Not by 16:00|"),"Same window",IF(FIND("|"&amp;Q421&amp;"|","|1-5 min|5-15 min|15-60 min|9:30-11:00|11:00-16:00|Not by 16:00|")&lt;FIND("|"&amp;R421&amp;"|","|1-5 min|5-15 min|15-60 min|9:30-11:00|11:00-16:00|Not by 16:00|"),IF(E421="Up","High first (main side)",IF(E421="Down","High first (wick side)","High first")),IF(E421="Down","Low first (main side)",IF(E421="Up","Low first (wick side)","Low first"))))),"Check entries"))</f>
        <v/>
      </c>
      <c r="X421" s="28" t="n"/>
      <c r="Y421" s="27" t="n"/>
      <c r="Z421" s="27" t="n"/>
      <c r="AA421" s="27" t="n"/>
      <c r="AB421" s="27" t="n"/>
      <c r="AC421" s="27" t="n"/>
      <c r="AD421" s="27" t="n"/>
      <c r="AE421" s="28" t="n"/>
      <c r="AF421" s="30" t="n"/>
      <c r="AG421" s="27" t="n"/>
    </row>
    <row r="422">
      <c r="A422" s="25" t="n"/>
      <c r="B422" s="26">
        <f>IF(ISNUMBER(A422),TEXT(A422,"ddd"),"")</f>
        <v/>
      </c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8" t="n"/>
      <c r="M422" s="26">
        <f>IF(OR(L422="",AND(E422&lt;&gt;"Up",E422&lt;&gt;"Down")),"",IF(OR(L422="In line",L422="Mixed"),"Neutral data",IF(OR(AND(L422="Hotter",E422="Down"),AND(L422="Cooler",E422="Up")),"With data","Against data")))</f>
        <v/>
      </c>
      <c r="N422" s="28" t="n"/>
      <c r="O422" s="27" t="n"/>
      <c r="P422" s="27" t="n"/>
      <c r="Q422" s="28" t="n"/>
      <c r="R422" s="27" t="n"/>
      <c r="S422" s="29" t="n"/>
      <c r="T422" s="27" t="n"/>
      <c r="U422" s="27" t="n"/>
      <c r="V422" s="26">
        <f>IF(OR(AND(E422&lt;&gt;"Up",E422&lt;&gt;"Down"),NOT(ISNUMBER(S422)),IF(E422="Up",Q422,R422)=""),"",IF(S422&gt;=100,"Back to open",IF(OR(IF(E422="Up",Q422,R422)="1-5 min",IF(E422="Up",Q422,R422)="5-15 min"),"Continued",IF(S422&gt;=50,"Partial retrace","Stalled / chop"))))</f>
        <v/>
      </c>
      <c r="W422" s="26">
        <f>IF(OR(Q422="",R422=""),"",IFERROR(IF(AND(Q422="Not by 16:00",R422="Not by 16:00"),"Neither taken",IF(FIND("|"&amp;Q422&amp;"|","|1-5 min|5-15 min|15-60 min|9:30-11:00|11:00-16:00|Not by 16:00|")=FIND("|"&amp;R422&amp;"|","|1-5 min|5-15 min|15-60 min|9:30-11:00|11:00-16:00|Not by 16:00|"),"Same window",IF(FIND("|"&amp;Q422&amp;"|","|1-5 min|5-15 min|15-60 min|9:30-11:00|11:00-16:00|Not by 16:00|")&lt;FIND("|"&amp;R422&amp;"|","|1-5 min|5-15 min|15-60 min|9:30-11:00|11:00-16:00|Not by 16:00|"),IF(E422="Up","High first (main side)",IF(E422="Down","High first (wick side)","High first")),IF(E422="Down","Low first (main side)",IF(E422="Up","Low first (wick side)","Low first"))))),"Check entries"))</f>
        <v/>
      </c>
      <c r="X422" s="28" t="n"/>
      <c r="Y422" s="27" t="n"/>
      <c r="Z422" s="27" t="n"/>
      <c r="AA422" s="27" t="n"/>
      <c r="AB422" s="27" t="n"/>
      <c r="AC422" s="27" t="n"/>
      <c r="AD422" s="27" t="n"/>
      <c r="AE422" s="28" t="n"/>
      <c r="AF422" s="30" t="n"/>
      <c r="AG422" s="27" t="n"/>
    </row>
    <row r="423">
      <c r="A423" s="25" t="n"/>
      <c r="B423" s="26">
        <f>IF(ISNUMBER(A423),TEXT(A423,"ddd"),"")</f>
        <v/>
      </c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8" t="n"/>
      <c r="M423" s="26">
        <f>IF(OR(L423="",AND(E423&lt;&gt;"Up",E423&lt;&gt;"Down")),"",IF(OR(L423="In line",L423="Mixed"),"Neutral data",IF(OR(AND(L423="Hotter",E423="Down"),AND(L423="Cooler",E423="Up")),"With data","Against data")))</f>
        <v/>
      </c>
      <c r="N423" s="28" t="n"/>
      <c r="O423" s="27" t="n"/>
      <c r="P423" s="27" t="n"/>
      <c r="Q423" s="28" t="n"/>
      <c r="R423" s="27" t="n"/>
      <c r="S423" s="29" t="n"/>
      <c r="T423" s="27" t="n"/>
      <c r="U423" s="27" t="n"/>
      <c r="V423" s="26">
        <f>IF(OR(AND(E423&lt;&gt;"Up",E423&lt;&gt;"Down"),NOT(ISNUMBER(S423)),IF(E423="Up",Q423,R423)=""),"",IF(S423&gt;=100,"Back to open",IF(OR(IF(E423="Up",Q423,R423)="1-5 min",IF(E423="Up",Q423,R423)="5-15 min"),"Continued",IF(S423&gt;=50,"Partial retrace","Stalled / chop"))))</f>
        <v/>
      </c>
      <c r="W423" s="26">
        <f>IF(OR(Q423="",R423=""),"",IFERROR(IF(AND(Q423="Not by 16:00",R423="Not by 16:00"),"Neither taken",IF(FIND("|"&amp;Q423&amp;"|","|1-5 min|5-15 min|15-60 min|9:30-11:00|11:00-16:00|Not by 16:00|")=FIND("|"&amp;R423&amp;"|","|1-5 min|5-15 min|15-60 min|9:30-11:00|11:00-16:00|Not by 16:00|"),"Same window",IF(FIND("|"&amp;Q423&amp;"|","|1-5 min|5-15 min|15-60 min|9:30-11:00|11:00-16:00|Not by 16:00|")&lt;FIND("|"&amp;R423&amp;"|","|1-5 min|5-15 min|15-60 min|9:30-11:00|11:00-16:00|Not by 16:00|"),IF(E423="Up","High first (main side)",IF(E423="Down","High first (wick side)","High first")),IF(E423="Down","Low first (main side)",IF(E423="Up","Low first (wick side)","Low first"))))),"Check entries"))</f>
        <v/>
      </c>
      <c r="X423" s="28" t="n"/>
      <c r="Y423" s="27" t="n"/>
      <c r="Z423" s="27" t="n"/>
      <c r="AA423" s="27" t="n"/>
      <c r="AB423" s="27" t="n"/>
      <c r="AC423" s="27" t="n"/>
      <c r="AD423" s="27" t="n"/>
      <c r="AE423" s="28" t="n"/>
      <c r="AF423" s="30" t="n"/>
      <c r="AG423" s="27" t="n"/>
    </row>
    <row r="424">
      <c r="A424" s="25" t="n"/>
      <c r="B424" s="26">
        <f>IF(ISNUMBER(A424),TEXT(A424,"ddd"),"")</f>
        <v/>
      </c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8" t="n"/>
      <c r="M424" s="26">
        <f>IF(OR(L424="",AND(E424&lt;&gt;"Up",E424&lt;&gt;"Down")),"",IF(OR(L424="In line",L424="Mixed"),"Neutral data",IF(OR(AND(L424="Hotter",E424="Down"),AND(L424="Cooler",E424="Up")),"With data","Against data")))</f>
        <v/>
      </c>
      <c r="N424" s="28" t="n"/>
      <c r="O424" s="27" t="n"/>
      <c r="P424" s="27" t="n"/>
      <c r="Q424" s="28" t="n"/>
      <c r="R424" s="27" t="n"/>
      <c r="S424" s="29" t="n"/>
      <c r="T424" s="27" t="n"/>
      <c r="U424" s="27" t="n"/>
      <c r="V424" s="26">
        <f>IF(OR(AND(E424&lt;&gt;"Up",E424&lt;&gt;"Down"),NOT(ISNUMBER(S424)),IF(E424="Up",Q424,R424)=""),"",IF(S424&gt;=100,"Back to open",IF(OR(IF(E424="Up",Q424,R424)="1-5 min",IF(E424="Up",Q424,R424)="5-15 min"),"Continued",IF(S424&gt;=50,"Partial retrace","Stalled / chop"))))</f>
        <v/>
      </c>
      <c r="W424" s="26">
        <f>IF(OR(Q424="",R424=""),"",IFERROR(IF(AND(Q424="Not by 16:00",R424="Not by 16:00"),"Neither taken",IF(FIND("|"&amp;Q424&amp;"|","|1-5 min|5-15 min|15-60 min|9:30-11:00|11:00-16:00|Not by 16:00|")=FIND("|"&amp;R424&amp;"|","|1-5 min|5-15 min|15-60 min|9:30-11:00|11:00-16:00|Not by 16:00|"),"Same window",IF(FIND("|"&amp;Q424&amp;"|","|1-5 min|5-15 min|15-60 min|9:30-11:00|11:00-16:00|Not by 16:00|")&lt;FIND("|"&amp;R424&amp;"|","|1-5 min|5-15 min|15-60 min|9:30-11:00|11:00-16:00|Not by 16:00|"),IF(E424="Up","High first (main side)",IF(E424="Down","High first (wick side)","High first")),IF(E424="Down","Low first (main side)",IF(E424="Up","Low first (wick side)","Low first"))))),"Check entries"))</f>
        <v/>
      </c>
      <c r="X424" s="28" t="n"/>
      <c r="Y424" s="27" t="n"/>
      <c r="Z424" s="27" t="n"/>
      <c r="AA424" s="27" t="n"/>
      <c r="AB424" s="27" t="n"/>
      <c r="AC424" s="27" t="n"/>
      <c r="AD424" s="27" t="n"/>
      <c r="AE424" s="28" t="n"/>
      <c r="AF424" s="30" t="n"/>
      <c r="AG424" s="27" t="n"/>
    </row>
    <row r="425">
      <c r="A425" s="25" t="n"/>
      <c r="B425" s="26">
        <f>IF(ISNUMBER(A425),TEXT(A425,"ddd"),"")</f>
        <v/>
      </c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8" t="n"/>
      <c r="M425" s="26">
        <f>IF(OR(L425="",AND(E425&lt;&gt;"Up",E425&lt;&gt;"Down")),"",IF(OR(L425="In line",L425="Mixed"),"Neutral data",IF(OR(AND(L425="Hotter",E425="Down"),AND(L425="Cooler",E425="Up")),"With data","Against data")))</f>
        <v/>
      </c>
      <c r="N425" s="28" t="n"/>
      <c r="O425" s="27" t="n"/>
      <c r="P425" s="27" t="n"/>
      <c r="Q425" s="28" t="n"/>
      <c r="R425" s="27" t="n"/>
      <c r="S425" s="29" t="n"/>
      <c r="T425" s="27" t="n"/>
      <c r="U425" s="27" t="n"/>
      <c r="V425" s="26">
        <f>IF(OR(AND(E425&lt;&gt;"Up",E425&lt;&gt;"Down"),NOT(ISNUMBER(S425)),IF(E425="Up",Q425,R425)=""),"",IF(S425&gt;=100,"Back to open",IF(OR(IF(E425="Up",Q425,R425)="1-5 min",IF(E425="Up",Q425,R425)="5-15 min"),"Continued",IF(S425&gt;=50,"Partial retrace","Stalled / chop"))))</f>
        <v/>
      </c>
      <c r="W425" s="26">
        <f>IF(OR(Q425="",R425=""),"",IFERROR(IF(AND(Q425="Not by 16:00",R425="Not by 16:00"),"Neither taken",IF(FIND("|"&amp;Q425&amp;"|","|1-5 min|5-15 min|15-60 min|9:30-11:00|11:00-16:00|Not by 16:00|")=FIND("|"&amp;R425&amp;"|","|1-5 min|5-15 min|15-60 min|9:30-11:00|11:00-16:00|Not by 16:00|"),"Same window",IF(FIND("|"&amp;Q425&amp;"|","|1-5 min|5-15 min|15-60 min|9:30-11:00|11:00-16:00|Not by 16:00|")&lt;FIND("|"&amp;R425&amp;"|","|1-5 min|5-15 min|15-60 min|9:30-11:00|11:00-16:00|Not by 16:00|"),IF(E425="Up","High first (main side)",IF(E425="Down","High first (wick side)","High first")),IF(E425="Down","Low first (main side)",IF(E425="Up","Low first (wick side)","Low first"))))),"Check entries"))</f>
        <v/>
      </c>
      <c r="X425" s="28" t="n"/>
      <c r="Y425" s="27" t="n"/>
      <c r="Z425" s="27" t="n"/>
      <c r="AA425" s="27" t="n"/>
      <c r="AB425" s="27" t="n"/>
      <c r="AC425" s="27" t="n"/>
      <c r="AD425" s="27" t="n"/>
      <c r="AE425" s="28" t="n"/>
      <c r="AF425" s="30" t="n"/>
      <c r="AG425" s="27" t="n"/>
    </row>
    <row r="426">
      <c r="A426" s="25" t="n"/>
      <c r="B426" s="26">
        <f>IF(ISNUMBER(A426),TEXT(A426,"ddd"),"")</f>
        <v/>
      </c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8" t="n"/>
      <c r="M426" s="26">
        <f>IF(OR(L426="",AND(E426&lt;&gt;"Up",E426&lt;&gt;"Down")),"",IF(OR(L426="In line",L426="Mixed"),"Neutral data",IF(OR(AND(L426="Hotter",E426="Down"),AND(L426="Cooler",E426="Up")),"With data","Against data")))</f>
        <v/>
      </c>
      <c r="N426" s="28" t="n"/>
      <c r="O426" s="27" t="n"/>
      <c r="P426" s="27" t="n"/>
      <c r="Q426" s="28" t="n"/>
      <c r="R426" s="27" t="n"/>
      <c r="S426" s="29" t="n"/>
      <c r="T426" s="27" t="n"/>
      <c r="U426" s="27" t="n"/>
      <c r="V426" s="26">
        <f>IF(OR(AND(E426&lt;&gt;"Up",E426&lt;&gt;"Down"),NOT(ISNUMBER(S426)),IF(E426="Up",Q426,R426)=""),"",IF(S426&gt;=100,"Back to open",IF(OR(IF(E426="Up",Q426,R426)="1-5 min",IF(E426="Up",Q426,R426)="5-15 min"),"Continued",IF(S426&gt;=50,"Partial retrace","Stalled / chop"))))</f>
        <v/>
      </c>
      <c r="W426" s="26">
        <f>IF(OR(Q426="",R426=""),"",IFERROR(IF(AND(Q426="Not by 16:00",R426="Not by 16:00"),"Neither taken",IF(FIND("|"&amp;Q426&amp;"|","|1-5 min|5-15 min|15-60 min|9:30-11:00|11:00-16:00|Not by 16:00|")=FIND("|"&amp;R426&amp;"|","|1-5 min|5-15 min|15-60 min|9:30-11:00|11:00-16:00|Not by 16:00|"),"Same window",IF(FIND("|"&amp;Q426&amp;"|","|1-5 min|5-15 min|15-60 min|9:30-11:00|11:00-16:00|Not by 16:00|")&lt;FIND("|"&amp;R426&amp;"|","|1-5 min|5-15 min|15-60 min|9:30-11:00|11:00-16:00|Not by 16:00|"),IF(E426="Up","High first (main side)",IF(E426="Down","High first (wick side)","High first")),IF(E426="Down","Low first (main side)",IF(E426="Up","Low first (wick side)","Low first"))))),"Check entries"))</f>
        <v/>
      </c>
      <c r="X426" s="28" t="n"/>
      <c r="Y426" s="27" t="n"/>
      <c r="Z426" s="27" t="n"/>
      <c r="AA426" s="27" t="n"/>
      <c r="AB426" s="27" t="n"/>
      <c r="AC426" s="27" t="n"/>
      <c r="AD426" s="27" t="n"/>
      <c r="AE426" s="28" t="n"/>
      <c r="AF426" s="30" t="n"/>
      <c r="AG426" s="27" t="n"/>
    </row>
    <row r="427">
      <c r="A427" s="25" t="n"/>
      <c r="B427" s="26">
        <f>IF(ISNUMBER(A427),TEXT(A427,"ddd"),"")</f>
        <v/>
      </c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8" t="n"/>
      <c r="M427" s="26">
        <f>IF(OR(L427="",AND(E427&lt;&gt;"Up",E427&lt;&gt;"Down")),"",IF(OR(L427="In line",L427="Mixed"),"Neutral data",IF(OR(AND(L427="Hotter",E427="Down"),AND(L427="Cooler",E427="Up")),"With data","Against data")))</f>
        <v/>
      </c>
      <c r="N427" s="28" t="n"/>
      <c r="O427" s="27" t="n"/>
      <c r="P427" s="27" t="n"/>
      <c r="Q427" s="28" t="n"/>
      <c r="R427" s="27" t="n"/>
      <c r="S427" s="29" t="n"/>
      <c r="T427" s="27" t="n"/>
      <c r="U427" s="27" t="n"/>
      <c r="V427" s="26">
        <f>IF(OR(AND(E427&lt;&gt;"Up",E427&lt;&gt;"Down"),NOT(ISNUMBER(S427)),IF(E427="Up",Q427,R427)=""),"",IF(S427&gt;=100,"Back to open",IF(OR(IF(E427="Up",Q427,R427)="1-5 min",IF(E427="Up",Q427,R427)="5-15 min"),"Continued",IF(S427&gt;=50,"Partial retrace","Stalled / chop"))))</f>
        <v/>
      </c>
      <c r="W427" s="26">
        <f>IF(OR(Q427="",R427=""),"",IFERROR(IF(AND(Q427="Not by 16:00",R427="Not by 16:00"),"Neither taken",IF(FIND("|"&amp;Q427&amp;"|","|1-5 min|5-15 min|15-60 min|9:30-11:00|11:00-16:00|Not by 16:00|")=FIND("|"&amp;R427&amp;"|","|1-5 min|5-15 min|15-60 min|9:30-11:00|11:00-16:00|Not by 16:00|"),"Same window",IF(FIND("|"&amp;Q427&amp;"|","|1-5 min|5-15 min|15-60 min|9:30-11:00|11:00-16:00|Not by 16:00|")&lt;FIND("|"&amp;R427&amp;"|","|1-5 min|5-15 min|15-60 min|9:30-11:00|11:00-16:00|Not by 16:00|"),IF(E427="Up","High first (main side)",IF(E427="Down","High first (wick side)","High first")),IF(E427="Down","Low first (main side)",IF(E427="Up","Low first (wick side)","Low first"))))),"Check entries"))</f>
        <v/>
      </c>
      <c r="X427" s="28" t="n"/>
      <c r="Y427" s="27" t="n"/>
      <c r="Z427" s="27" t="n"/>
      <c r="AA427" s="27" t="n"/>
      <c r="AB427" s="27" t="n"/>
      <c r="AC427" s="27" t="n"/>
      <c r="AD427" s="27" t="n"/>
      <c r="AE427" s="28" t="n"/>
      <c r="AF427" s="30" t="n"/>
      <c r="AG427" s="27" t="n"/>
    </row>
    <row r="428">
      <c r="A428" s="25" t="n"/>
      <c r="B428" s="26">
        <f>IF(ISNUMBER(A428),TEXT(A428,"ddd"),"")</f>
        <v/>
      </c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8" t="n"/>
      <c r="M428" s="26">
        <f>IF(OR(L428="",AND(E428&lt;&gt;"Up",E428&lt;&gt;"Down")),"",IF(OR(L428="In line",L428="Mixed"),"Neutral data",IF(OR(AND(L428="Hotter",E428="Down"),AND(L428="Cooler",E428="Up")),"With data","Against data")))</f>
        <v/>
      </c>
      <c r="N428" s="28" t="n"/>
      <c r="O428" s="27" t="n"/>
      <c r="P428" s="27" t="n"/>
      <c r="Q428" s="28" t="n"/>
      <c r="R428" s="27" t="n"/>
      <c r="S428" s="29" t="n"/>
      <c r="T428" s="27" t="n"/>
      <c r="U428" s="27" t="n"/>
      <c r="V428" s="26">
        <f>IF(OR(AND(E428&lt;&gt;"Up",E428&lt;&gt;"Down"),NOT(ISNUMBER(S428)),IF(E428="Up",Q428,R428)=""),"",IF(S428&gt;=100,"Back to open",IF(OR(IF(E428="Up",Q428,R428)="1-5 min",IF(E428="Up",Q428,R428)="5-15 min"),"Continued",IF(S428&gt;=50,"Partial retrace","Stalled / chop"))))</f>
        <v/>
      </c>
      <c r="W428" s="26">
        <f>IF(OR(Q428="",R428=""),"",IFERROR(IF(AND(Q428="Not by 16:00",R428="Not by 16:00"),"Neither taken",IF(FIND("|"&amp;Q428&amp;"|","|1-5 min|5-15 min|15-60 min|9:30-11:00|11:00-16:00|Not by 16:00|")=FIND("|"&amp;R428&amp;"|","|1-5 min|5-15 min|15-60 min|9:30-11:00|11:00-16:00|Not by 16:00|"),"Same window",IF(FIND("|"&amp;Q428&amp;"|","|1-5 min|5-15 min|15-60 min|9:30-11:00|11:00-16:00|Not by 16:00|")&lt;FIND("|"&amp;R428&amp;"|","|1-5 min|5-15 min|15-60 min|9:30-11:00|11:00-16:00|Not by 16:00|"),IF(E428="Up","High first (main side)",IF(E428="Down","High first (wick side)","High first")),IF(E428="Down","Low first (main side)",IF(E428="Up","Low first (wick side)","Low first"))))),"Check entries"))</f>
        <v/>
      </c>
      <c r="X428" s="28" t="n"/>
      <c r="Y428" s="27" t="n"/>
      <c r="Z428" s="27" t="n"/>
      <c r="AA428" s="27" t="n"/>
      <c r="AB428" s="27" t="n"/>
      <c r="AC428" s="27" t="n"/>
      <c r="AD428" s="27" t="n"/>
      <c r="AE428" s="28" t="n"/>
      <c r="AF428" s="30" t="n"/>
      <c r="AG428" s="27" t="n"/>
    </row>
    <row r="429">
      <c r="A429" s="25" t="n"/>
      <c r="B429" s="26">
        <f>IF(ISNUMBER(A429),TEXT(A429,"ddd"),"")</f>
        <v/>
      </c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8" t="n"/>
      <c r="M429" s="26">
        <f>IF(OR(L429="",AND(E429&lt;&gt;"Up",E429&lt;&gt;"Down")),"",IF(OR(L429="In line",L429="Mixed"),"Neutral data",IF(OR(AND(L429="Hotter",E429="Down"),AND(L429="Cooler",E429="Up")),"With data","Against data")))</f>
        <v/>
      </c>
      <c r="N429" s="28" t="n"/>
      <c r="O429" s="27" t="n"/>
      <c r="P429" s="27" t="n"/>
      <c r="Q429" s="28" t="n"/>
      <c r="R429" s="27" t="n"/>
      <c r="S429" s="29" t="n"/>
      <c r="T429" s="27" t="n"/>
      <c r="U429" s="27" t="n"/>
      <c r="V429" s="26">
        <f>IF(OR(AND(E429&lt;&gt;"Up",E429&lt;&gt;"Down"),NOT(ISNUMBER(S429)),IF(E429="Up",Q429,R429)=""),"",IF(S429&gt;=100,"Back to open",IF(OR(IF(E429="Up",Q429,R429)="1-5 min",IF(E429="Up",Q429,R429)="5-15 min"),"Continued",IF(S429&gt;=50,"Partial retrace","Stalled / chop"))))</f>
        <v/>
      </c>
      <c r="W429" s="26">
        <f>IF(OR(Q429="",R429=""),"",IFERROR(IF(AND(Q429="Not by 16:00",R429="Not by 16:00"),"Neither taken",IF(FIND("|"&amp;Q429&amp;"|","|1-5 min|5-15 min|15-60 min|9:30-11:00|11:00-16:00|Not by 16:00|")=FIND("|"&amp;R429&amp;"|","|1-5 min|5-15 min|15-60 min|9:30-11:00|11:00-16:00|Not by 16:00|"),"Same window",IF(FIND("|"&amp;Q429&amp;"|","|1-5 min|5-15 min|15-60 min|9:30-11:00|11:00-16:00|Not by 16:00|")&lt;FIND("|"&amp;R429&amp;"|","|1-5 min|5-15 min|15-60 min|9:30-11:00|11:00-16:00|Not by 16:00|"),IF(E429="Up","High first (main side)",IF(E429="Down","High first (wick side)","High first")),IF(E429="Down","Low first (main side)",IF(E429="Up","Low first (wick side)","Low first"))))),"Check entries"))</f>
        <v/>
      </c>
      <c r="X429" s="28" t="n"/>
      <c r="Y429" s="27" t="n"/>
      <c r="Z429" s="27" t="n"/>
      <c r="AA429" s="27" t="n"/>
      <c r="AB429" s="27" t="n"/>
      <c r="AC429" s="27" t="n"/>
      <c r="AD429" s="27" t="n"/>
      <c r="AE429" s="28" t="n"/>
      <c r="AF429" s="30" t="n"/>
      <c r="AG429" s="27" t="n"/>
    </row>
    <row r="430">
      <c r="A430" s="25" t="n"/>
      <c r="B430" s="26">
        <f>IF(ISNUMBER(A430),TEXT(A430,"ddd"),"")</f>
        <v/>
      </c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8" t="n"/>
      <c r="M430" s="26">
        <f>IF(OR(L430="",AND(E430&lt;&gt;"Up",E430&lt;&gt;"Down")),"",IF(OR(L430="In line",L430="Mixed"),"Neutral data",IF(OR(AND(L430="Hotter",E430="Down"),AND(L430="Cooler",E430="Up")),"With data","Against data")))</f>
        <v/>
      </c>
      <c r="N430" s="28" t="n"/>
      <c r="O430" s="27" t="n"/>
      <c r="P430" s="27" t="n"/>
      <c r="Q430" s="28" t="n"/>
      <c r="R430" s="27" t="n"/>
      <c r="S430" s="29" t="n"/>
      <c r="T430" s="27" t="n"/>
      <c r="U430" s="27" t="n"/>
      <c r="V430" s="26">
        <f>IF(OR(AND(E430&lt;&gt;"Up",E430&lt;&gt;"Down"),NOT(ISNUMBER(S430)),IF(E430="Up",Q430,R430)=""),"",IF(S430&gt;=100,"Back to open",IF(OR(IF(E430="Up",Q430,R430)="1-5 min",IF(E430="Up",Q430,R430)="5-15 min"),"Continued",IF(S430&gt;=50,"Partial retrace","Stalled / chop"))))</f>
        <v/>
      </c>
      <c r="W430" s="26">
        <f>IF(OR(Q430="",R430=""),"",IFERROR(IF(AND(Q430="Not by 16:00",R430="Not by 16:00"),"Neither taken",IF(FIND("|"&amp;Q430&amp;"|","|1-5 min|5-15 min|15-60 min|9:30-11:00|11:00-16:00|Not by 16:00|")=FIND("|"&amp;R430&amp;"|","|1-5 min|5-15 min|15-60 min|9:30-11:00|11:00-16:00|Not by 16:00|"),"Same window",IF(FIND("|"&amp;Q430&amp;"|","|1-5 min|5-15 min|15-60 min|9:30-11:00|11:00-16:00|Not by 16:00|")&lt;FIND("|"&amp;R430&amp;"|","|1-5 min|5-15 min|15-60 min|9:30-11:00|11:00-16:00|Not by 16:00|"),IF(E430="Up","High first (main side)",IF(E430="Down","High first (wick side)","High first")),IF(E430="Down","Low first (main side)",IF(E430="Up","Low first (wick side)","Low first"))))),"Check entries"))</f>
        <v/>
      </c>
      <c r="X430" s="28" t="n"/>
      <c r="Y430" s="27" t="n"/>
      <c r="Z430" s="27" t="n"/>
      <c r="AA430" s="27" t="n"/>
      <c r="AB430" s="27" t="n"/>
      <c r="AC430" s="27" t="n"/>
      <c r="AD430" s="27" t="n"/>
      <c r="AE430" s="28" t="n"/>
      <c r="AF430" s="30" t="n"/>
      <c r="AG430" s="27" t="n"/>
    </row>
    <row r="431">
      <c r="A431" s="25" t="n"/>
      <c r="B431" s="26">
        <f>IF(ISNUMBER(A431),TEXT(A431,"ddd"),"")</f>
        <v/>
      </c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8" t="n"/>
      <c r="M431" s="26">
        <f>IF(OR(L431="",AND(E431&lt;&gt;"Up",E431&lt;&gt;"Down")),"",IF(OR(L431="In line",L431="Mixed"),"Neutral data",IF(OR(AND(L431="Hotter",E431="Down"),AND(L431="Cooler",E431="Up")),"With data","Against data")))</f>
        <v/>
      </c>
      <c r="N431" s="28" t="n"/>
      <c r="O431" s="27" t="n"/>
      <c r="P431" s="27" t="n"/>
      <c r="Q431" s="28" t="n"/>
      <c r="R431" s="27" t="n"/>
      <c r="S431" s="29" t="n"/>
      <c r="T431" s="27" t="n"/>
      <c r="U431" s="27" t="n"/>
      <c r="V431" s="26">
        <f>IF(OR(AND(E431&lt;&gt;"Up",E431&lt;&gt;"Down"),NOT(ISNUMBER(S431)),IF(E431="Up",Q431,R431)=""),"",IF(S431&gt;=100,"Back to open",IF(OR(IF(E431="Up",Q431,R431)="1-5 min",IF(E431="Up",Q431,R431)="5-15 min"),"Continued",IF(S431&gt;=50,"Partial retrace","Stalled / chop"))))</f>
        <v/>
      </c>
      <c r="W431" s="26">
        <f>IF(OR(Q431="",R431=""),"",IFERROR(IF(AND(Q431="Not by 16:00",R431="Not by 16:00"),"Neither taken",IF(FIND("|"&amp;Q431&amp;"|","|1-5 min|5-15 min|15-60 min|9:30-11:00|11:00-16:00|Not by 16:00|")=FIND("|"&amp;R431&amp;"|","|1-5 min|5-15 min|15-60 min|9:30-11:00|11:00-16:00|Not by 16:00|"),"Same window",IF(FIND("|"&amp;Q431&amp;"|","|1-5 min|5-15 min|15-60 min|9:30-11:00|11:00-16:00|Not by 16:00|")&lt;FIND("|"&amp;R431&amp;"|","|1-5 min|5-15 min|15-60 min|9:30-11:00|11:00-16:00|Not by 16:00|"),IF(E431="Up","High first (main side)",IF(E431="Down","High first (wick side)","High first")),IF(E431="Down","Low first (main side)",IF(E431="Up","Low first (wick side)","Low first"))))),"Check entries"))</f>
        <v/>
      </c>
      <c r="X431" s="28" t="n"/>
      <c r="Y431" s="27" t="n"/>
      <c r="Z431" s="27" t="n"/>
      <c r="AA431" s="27" t="n"/>
      <c r="AB431" s="27" t="n"/>
      <c r="AC431" s="27" t="n"/>
      <c r="AD431" s="27" t="n"/>
      <c r="AE431" s="28" t="n"/>
      <c r="AF431" s="30" t="n"/>
      <c r="AG431" s="27" t="n"/>
    </row>
    <row r="432">
      <c r="A432" s="25" t="n"/>
      <c r="B432" s="26">
        <f>IF(ISNUMBER(A432),TEXT(A432,"ddd"),"")</f>
        <v/>
      </c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8" t="n"/>
      <c r="M432" s="26">
        <f>IF(OR(L432="",AND(E432&lt;&gt;"Up",E432&lt;&gt;"Down")),"",IF(OR(L432="In line",L432="Mixed"),"Neutral data",IF(OR(AND(L432="Hotter",E432="Down"),AND(L432="Cooler",E432="Up")),"With data","Against data")))</f>
        <v/>
      </c>
      <c r="N432" s="28" t="n"/>
      <c r="O432" s="27" t="n"/>
      <c r="P432" s="27" t="n"/>
      <c r="Q432" s="28" t="n"/>
      <c r="R432" s="27" t="n"/>
      <c r="S432" s="29" t="n"/>
      <c r="T432" s="27" t="n"/>
      <c r="U432" s="27" t="n"/>
      <c r="V432" s="26">
        <f>IF(OR(AND(E432&lt;&gt;"Up",E432&lt;&gt;"Down"),NOT(ISNUMBER(S432)),IF(E432="Up",Q432,R432)=""),"",IF(S432&gt;=100,"Back to open",IF(OR(IF(E432="Up",Q432,R432)="1-5 min",IF(E432="Up",Q432,R432)="5-15 min"),"Continued",IF(S432&gt;=50,"Partial retrace","Stalled / chop"))))</f>
        <v/>
      </c>
      <c r="W432" s="26">
        <f>IF(OR(Q432="",R432=""),"",IFERROR(IF(AND(Q432="Not by 16:00",R432="Not by 16:00"),"Neither taken",IF(FIND("|"&amp;Q432&amp;"|","|1-5 min|5-15 min|15-60 min|9:30-11:00|11:00-16:00|Not by 16:00|")=FIND("|"&amp;R432&amp;"|","|1-5 min|5-15 min|15-60 min|9:30-11:00|11:00-16:00|Not by 16:00|"),"Same window",IF(FIND("|"&amp;Q432&amp;"|","|1-5 min|5-15 min|15-60 min|9:30-11:00|11:00-16:00|Not by 16:00|")&lt;FIND("|"&amp;R432&amp;"|","|1-5 min|5-15 min|15-60 min|9:30-11:00|11:00-16:00|Not by 16:00|"),IF(E432="Up","High first (main side)",IF(E432="Down","High first (wick side)","High first")),IF(E432="Down","Low first (main side)",IF(E432="Up","Low first (wick side)","Low first"))))),"Check entries"))</f>
        <v/>
      </c>
      <c r="X432" s="28" t="n"/>
      <c r="Y432" s="27" t="n"/>
      <c r="Z432" s="27" t="n"/>
      <c r="AA432" s="27" t="n"/>
      <c r="AB432" s="27" t="n"/>
      <c r="AC432" s="27" t="n"/>
      <c r="AD432" s="27" t="n"/>
      <c r="AE432" s="28" t="n"/>
      <c r="AF432" s="30" t="n"/>
      <c r="AG432" s="27" t="n"/>
    </row>
    <row r="433">
      <c r="A433" s="25" t="n"/>
      <c r="B433" s="26">
        <f>IF(ISNUMBER(A433),TEXT(A433,"ddd"),"")</f>
        <v/>
      </c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8" t="n"/>
      <c r="M433" s="26">
        <f>IF(OR(L433="",AND(E433&lt;&gt;"Up",E433&lt;&gt;"Down")),"",IF(OR(L433="In line",L433="Mixed"),"Neutral data",IF(OR(AND(L433="Hotter",E433="Down"),AND(L433="Cooler",E433="Up")),"With data","Against data")))</f>
        <v/>
      </c>
      <c r="N433" s="28" t="n"/>
      <c r="O433" s="27" t="n"/>
      <c r="P433" s="27" t="n"/>
      <c r="Q433" s="28" t="n"/>
      <c r="R433" s="27" t="n"/>
      <c r="S433" s="29" t="n"/>
      <c r="T433" s="27" t="n"/>
      <c r="U433" s="27" t="n"/>
      <c r="V433" s="26">
        <f>IF(OR(AND(E433&lt;&gt;"Up",E433&lt;&gt;"Down"),NOT(ISNUMBER(S433)),IF(E433="Up",Q433,R433)=""),"",IF(S433&gt;=100,"Back to open",IF(OR(IF(E433="Up",Q433,R433)="1-5 min",IF(E433="Up",Q433,R433)="5-15 min"),"Continued",IF(S433&gt;=50,"Partial retrace","Stalled / chop"))))</f>
        <v/>
      </c>
      <c r="W433" s="26">
        <f>IF(OR(Q433="",R433=""),"",IFERROR(IF(AND(Q433="Not by 16:00",R433="Not by 16:00"),"Neither taken",IF(FIND("|"&amp;Q433&amp;"|","|1-5 min|5-15 min|15-60 min|9:30-11:00|11:00-16:00|Not by 16:00|")=FIND("|"&amp;R433&amp;"|","|1-5 min|5-15 min|15-60 min|9:30-11:00|11:00-16:00|Not by 16:00|"),"Same window",IF(FIND("|"&amp;Q433&amp;"|","|1-5 min|5-15 min|15-60 min|9:30-11:00|11:00-16:00|Not by 16:00|")&lt;FIND("|"&amp;R433&amp;"|","|1-5 min|5-15 min|15-60 min|9:30-11:00|11:00-16:00|Not by 16:00|"),IF(E433="Up","High first (main side)",IF(E433="Down","High first (wick side)","High first")),IF(E433="Down","Low first (main side)",IF(E433="Up","Low first (wick side)","Low first"))))),"Check entries"))</f>
        <v/>
      </c>
      <c r="X433" s="28" t="n"/>
      <c r="Y433" s="27" t="n"/>
      <c r="Z433" s="27" t="n"/>
      <c r="AA433" s="27" t="n"/>
      <c r="AB433" s="27" t="n"/>
      <c r="AC433" s="27" t="n"/>
      <c r="AD433" s="27" t="n"/>
      <c r="AE433" s="28" t="n"/>
      <c r="AF433" s="30" t="n"/>
      <c r="AG433" s="27" t="n"/>
    </row>
    <row r="434">
      <c r="A434" s="25" t="n"/>
      <c r="B434" s="26">
        <f>IF(ISNUMBER(A434),TEXT(A434,"ddd"),"")</f>
        <v/>
      </c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8" t="n"/>
      <c r="M434" s="26">
        <f>IF(OR(L434="",AND(E434&lt;&gt;"Up",E434&lt;&gt;"Down")),"",IF(OR(L434="In line",L434="Mixed"),"Neutral data",IF(OR(AND(L434="Hotter",E434="Down"),AND(L434="Cooler",E434="Up")),"With data","Against data")))</f>
        <v/>
      </c>
      <c r="N434" s="28" t="n"/>
      <c r="O434" s="27" t="n"/>
      <c r="P434" s="27" t="n"/>
      <c r="Q434" s="28" t="n"/>
      <c r="R434" s="27" t="n"/>
      <c r="S434" s="29" t="n"/>
      <c r="T434" s="27" t="n"/>
      <c r="U434" s="27" t="n"/>
      <c r="V434" s="26">
        <f>IF(OR(AND(E434&lt;&gt;"Up",E434&lt;&gt;"Down"),NOT(ISNUMBER(S434)),IF(E434="Up",Q434,R434)=""),"",IF(S434&gt;=100,"Back to open",IF(OR(IF(E434="Up",Q434,R434)="1-5 min",IF(E434="Up",Q434,R434)="5-15 min"),"Continued",IF(S434&gt;=50,"Partial retrace","Stalled / chop"))))</f>
        <v/>
      </c>
      <c r="W434" s="26">
        <f>IF(OR(Q434="",R434=""),"",IFERROR(IF(AND(Q434="Not by 16:00",R434="Not by 16:00"),"Neither taken",IF(FIND("|"&amp;Q434&amp;"|","|1-5 min|5-15 min|15-60 min|9:30-11:00|11:00-16:00|Not by 16:00|")=FIND("|"&amp;R434&amp;"|","|1-5 min|5-15 min|15-60 min|9:30-11:00|11:00-16:00|Not by 16:00|"),"Same window",IF(FIND("|"&amp;Q434&amp;"|","|1-5 min|5-15 min|15-60 min|9:30-11:00|11:00-16:00|Not by 16:00|")&lt;FIND("|"&amp;R434&amp;"|","|1-5 min|5-15 min|15-60 min|9:30-11:00|11:00-16:00|Not by 16:00|"),IF(E434="Up","High first (main side)",IF(E434="Down","High first (wick side)","High first")),IF(E434="Down","Low first (main side)",IF(E434="Up","Low first (wick side)","Low first"))))),"Check entries"))</f>
        <v/>
      </c>
      <c r="X434" s="28" t="n"/>
      <c r="Y434" s="27" t="n"/>
      <c r="Z434" s="27" t="n"/>
      <c r="AA434" s="27" t="n"/>
      <c r="AB434" s="27" t="n"/>
      <c r="AC434" s="27" t="n"/>
      <c r="AD434" s="27" t="n"/>
      <c r="AE434" s="28" t="n"/>
      <c r="AF434" s="30" t="n"/>
      <c r="AG434" s="27" t="n"/>
    </row>
    <row r="435">
      <c r="A435" s="25" t="n"/>
      <c r="B435" s="26">
        <f>IF(ISNUMBER(A435),TEXT(A435,"ddd"),"")</f>
        <v/>
      </c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8" t="n"/>
      <c r="M435" s="26">
        <f>IF(OR(L435="",AND(E435&lt;&gt;"Up",E435&lt;&gt;"Down")),"",IF(OR(L435="In line",L435="Mixed"),"Neutral data",IF(OR(AND(L435="Hotter",E435="Down"),AND(L435="Cooler",E435="Up")),"With data","Against data")))</f>
        <v/>
      </c>
      <c r="N435" s="28" t="n"/>
      <c r="O435" s="27" t="n"/>
      <c r="P435" s="27" t="n"/>
      <c r="Q435" s="28" t="n"/>
      <c r="R435" s="27" t="n"/>
      <c r="S435" s="29" t="n"/>
      <c r="T435" s="27" t="n"/>
      <c r="U435" s="27" t="n"/>
      <c r="V435" s="26">
        <f>IF(OR(AND(E435&lt;&gt;"Up",E435&lt;&gt;"Down"),NOT(ISNUMBER(S435)),IF(E435="Up",Q435,R435)=""),"",IF(S435&gt;=100,"Back to open",IF(OR(IF(E435="Up",Q435,R435)="1-5 min",IF(E435="Up",Q435,R435)="5-15 min"),"Continued",IF(S435&gt;=50,"Partial retrace","Stalled / chop"))))</f>
        <v/>
      </c>
      <c r="W435" s="26">
        <f>IF(OR(Q435="",R435=""),"",IFERROR(IF(AND(Q435="Not by 16:00",R435="Not by 16:00"),"Neither taken",IF(FIND("|"&amp;Q435&amp;"|","|1-5 min|5-15 min|15-60 min|9:30-11:00|11:00-16:00|Not by 16:00|")=FIND("|"&amp;R435&amp;"|","|1-5 min|5-15 min|15-60 min|9:30-11:00|11:00-16:00|Not by 16:00|"),"Same window",IF(FIND("|"&amp;Q435&amp;"|","|1-5 min|5-15 min|15-60 min|9:30-11:00|11:00-16:00|Not by 16:00|")&lt;FIND("|"&amp;R435&amp;"|","|1-5 min|5-15 min|15-60 min|9:30-11:00|11:00-16:00|Not by 16:00|"),IF(E435="Up","High first (main side)",IF(E435="Down","High first (wick side)","High first")),IF(E435="Down","Low first (main side)",IF(E435="Up","Low first (wick side)","Low first"))))),"Check entries"))</f>
        <v/>
      </c>
      <c r="X435" s="28" t="n"/>
      <c r="Y435" s="27" t="n"/>
      <c r="Z435" s="27" t="n"/>
      <c r="AA435" s="27" t="n"/>
      <c r="AB435" s="27" t="n"/>
      <c r="AC435" s="27" t="n"/>
      <c r="AD435" s="27" t="n"/>
      <c r="AE435" s="28" t="n"/>
      <c r="AF435" s="30" t="n"/>
      <c r="AG435" s="27" t="n"/>
    </row>
    <row r="436">
      <c r="A436" s="25" t="n"/>
      <c r="B436" s="26">
        <f>IF(ISNUMBER(A436),TEXT(A436,"ddd"),"")</f>
        <v/>
      </c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8" t="n"/>
      <c r="M436" s="26">
        <f>IF(OR(L436="",AND(E436&lt;&gt;"Up",E436&lt;&gt;"Down")),"",IF(OR(L436="In line",L436="Mixed"),"Neutral data",IF(OR(AND(L436="Hotter",E436="Down"),AND(L436="Cooler",E436="Up")),"With data","Against data")))</f>
        <v/>
      </c>
      <c r="N436" s="28" t="n"/>
      <c r="O436" s="27" t="n"/>
      <c r="P436" s="27" t="n"/>
      <c r="Q436" s="28" t="n"/>
      <c r="R436" s="27" t="n"/>
      <c r="S436" s="29" t="n"/>
      <c r="T436" s="27" t="n"/>
      <c r="U436" s="27" t="n"/>
      <c r="V436" s="26">
        <f>IF(OR(AND(E436&lt;&gt;"Up",E436&lt;&gt;"Down"),NOT(ISNUMBER(S436)),IF(E436="Up",Q436,R436)=""),"",IF(S436&gt;=100,"Back to open",IF(OR(IF(E436="Up",Q436,R436)="1-5 min",IF(E436="Up",Q436,R436)="5-15 min"),"Continued",IF(S436&gt;=50,"Partial retrace","Stalled / chop"))))</f>
        <v/>
      </c>
      <c r="W436" s="26">
        <f>IF(OR(Q436="",R436=""),"",IFERROR(IF(AND(Q436="Not by 16:00",R436="Not by 16:00"),"Neither taken",IF(FIND("|"&amp;Q436&amp;"|","|1-5 min|5-15 min|15-60 min|9:30-11:00|11:00-16:00|Not by 16:00|")=FIND("|"&amp;R436&amp;"|","|1-5 min|5-15 min|15-60 min|9:30-11:00|11:00-16:00|Not by 16:00|"),"Same window",IF(FIND("|"&amp;Q436&amp;"|","|1-5 min|5-15 min|15-60 min|9:30-11:00|11:00-16:00|Not by 16:00|")&lt;FIND("|"&amp;R436&amp;"|","|1-5 min|5-15 min|15-60 min|9:30-11:00|11:00-16:00|Not by 16:00|"),IF(E436="Up","High first (main side)",IF(E436="Down","High first (wick side)","High first")),IF(E436="Down","Low first (main side)",IF(E436="Up","Low first (wick side)","Low first"))))),"Check entries"))</f>
        <v/>
      </c>
      <c r="X436" s="28" t="n"/>
      <c r="Y436" s="27" t="n"/>
      <c r="Z436" s="27" t="n"/>
      <c r="AA436" s="27" t="n"/>
      <c r="AB436" s="27" t="n"/>
      <c r="AC436" s="27" t="n"/>
      <c r="AD436" s="27" t="n"/>
      <c r="AE436" s="28" t="n"/>
      <c r="AF436" s="30" t="n"/>
      <c r="AG436" s="27" t="n"/>
    </row>
    <row r="437">
      <c r="A437" s="25" t="n"/>
      <c r="B437" s="26">
        <f>IF(ISNUMBER(A437),TEXT(A437,"ddd"),"")</f>
        <v/>
      </c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8" t="n"/>
      <c r="M437" s="26">
        <f>IF(OR(L437="",AND(E437&lt;&gt;"Up",E437&lt;&gt;"Down")),"",IF(OR(L437="In line",L437="Mixed"),"Neutral data",IF(OR(AND(L437="Hotter",E437="Down"),AND(L437="Cooler",E437="Up")),"With data","Against data")))</f>
        <v/>
      </c>
      <c r="N437" s="28" t="n"/>
      <c r="O437" s="27" t="n"/>
      <c r="P437" s="27" t="n"/>
      <c r="Q437" s="28" t="n"/>
      <c r="R437" s="27" t="n"/>
      <c r="S437" s="29" t="n"/>
      <c r="T437" s="27" t="n"/>
      <c r="U437" s="27" t="n"/>
      <c r="V437" s="26">
        <f>IF(OR(AND(E437&lt;&gt;"Up",E437&lt;&gt;"Down"),NOT(ISNUMBER(S437)),IF(E437="Up",Q437,R437)=""),"",IF(S437&gt;=100,"Back to open",IF(OR(IF(E437="Up",Q437,R437)="1-5 min",IF(E437="Up",Q437,R437)="5-15 min"),"Continued",IF(S437&gt;=50,"Partial retrace","Stalled / chop"))))</f>
        <v/>
      </c>
      <c r="W437" s="26">
        <f>IF(OR(Q437="",R437=""),"",IFERROR(IF(AND(Q437="Not by 16:00",R437="Not by 16:00"),"Neither taken",IF(FIND("|"&amp;Q437&amp;"|","|1-5 min|5-15 min|15-60 min|9:30-11:00|11:00-16:00|Not by 16:00|")=FIND("|"&amp;R437&amp;"|","|1-5 min|5-15 min|15-60 min|9:30-11:00|11:00-16:00|Not by 16:00|"),"Same window",IF(FIND("|"&amp;Q437&amp;"|","|1-5 min|5-15 min|15-60 min|9:30-11:00|11:00-16:00|Not by 16:00|")&lt;FIND("|"&amp;R437&amp;"|","|1-5 min|5-15 min|15-60 min|9:30-11:00|11:00-16:00|Not by 16:00|"),IF(E437="Up","High first (main side)",IF(E437="Down","High first (wick side)","High first")),IF(E437="Down","Low first (main side)",IF(E437="Up","Low first (wick side)","Low first"))))),"Check entries"))</f>
        <v/>
      </c>
      <c r="X437" s="28" t="n"/>
      <c r="Y437" s="27" t="n"/>
      <c r="Z437" s="27" t="n"/>
      <c r="AA437" s="27" t="n"/>
      <c r="AB437" s="27" t="n"/>
      <c r="AC437" s="27" t="n"/>
      <c r="AD437" s="27" t="n"/>
      <c r="AE437" s="28" t="n"/>
      <c r="AF437" s="30" t="n"/>
      <c r="AG437" s="27" t="n"/>
    </row>
    <row r="438">
      <c r="A438" s="25" t="n"/>
      <c r="B438" s="26">
        <f>IF(ISNUMBER(A438),TEXT(A438,"ddd"),"")</f>
        <v/>
      </c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8" t="n"/>
      <c r="M438" s="26">
        <f>IF(OR(L438="",AND(E438&lt;&gt;"Up",E438&lt;&gt;"Down")),"",IF(OR(L438="In line",L438="Mixed"),"Neutral data",IF(OR(AND(L438="Hotter",E438="Down"),AND(L438="Cooler",E438="Up")),"With data","Against data")))</f>
        <v/>
      </c>
      <c r="N438" s="28" t="n"/>
      <c r="O438" s="27" t="n"/>
      <c r="P438" s="27" t="n"/>
      <c r="Q438" s="28" t="n"/>
      <c r="R438" s="27" t="n"/>
      <c r="S438" s="29" t="n"/>
      <c r="T438" s="27" t="n"/>
      <c r="U438" s="27" t="n"/>
      <c r="V438" s="26">
        <f>IF(OR(AND(E438&lt;&gt;"Up",E438&lt;&gt;"Down"),NOT(ISNUMBER(S438)),IF(E438="Up",Q438,R438)=""),"",IF(S438&gt;=100,"Back to open",IF(OR(IF(E438="Up",Q438,R438)="1-5 min",IF(E438="Up",Q438,R438)="5-15 min"),"Continued",IF(S438&gt;=50,"Partial retrace","Stalled / chop"))))</f>
        <v/>
      </c>
      <c r="W438" s="26">
        <f>IF(OR(Q438="",R438=""),"",IFERROR(IF(AND(Q438="Not by 16:00",R438="Not by 16:00"),"Neither taken",IF(FIND("|"&amp;Q438&amp;"|","|1-5 min|5-15 min|15-60 min|9:30-11:00|11:00-16:00|Not by 16:00|")=FIND("|"&amp;R438&amp;"|","|1-5 min|5-15 min|15-60 min|9:30-11:00|11:00-16:00|Not by 16:00|"),"Same window",IF(FIND("|"&amp;Q438&amp;"|","|1-5 min|5-15 min|15-60 min|9:30-11:00|11:00-16:00|Not by 16:00|")&lt;FIND("|"&amp;R438&amp;"|","|1-5 min|5-15 min|15-60 min|9:30-11:00|11:00-16:00|Not by 16:00|"),IF(E438="Up","High first (main side)",IF(E438="Down","High first (wick side)","High first")),IF(E438="Down","Low first (main side)",IF(E438="Up","Low first (wick side)","Low first"))))),"Check entries"))</f>
        <v/>
      </c>
      <c r="X438" s="28" t="n"/>
      <c r="Y438" s="27" t="n"/>
      <c r="Z438" s="27" t="n"/>
      <c r="AA438" s="27" t="n"/>
      <c r="AB438" s="27" t="n"/>
      <c r="AC438" s="27" t="n"/>
      <c r="AD438" s="27" t="n"/>
      <c r="AE438" s="28" t="n"/>
      <c r="AF438" s="30" t="n"/>
      <c r="AG438" s="27" t="n"/>
    </row>
    <row r="439">
      <c r="A439" s="25" t="n"/>
      <c r="B439" s="26">
        <f>IF(ISNUMBER(A439),TEXT(A439,"ddd"),"")</f>
        <v/>
      </c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8" t="n"/>
      <c r="M439" s="26">
        <f>IF(OR(L439="",AND(E439&lt;&gt;"Up",E439&lt;&gt;"Down")),"",IF(OR(L439="In line",L439="Mixed"),"Neutral data",IF(OR(AND(L439="Hotter",E439="Down"),AND(L439="Cooler",E439="Up")),"With data","Against data")))</f>
        <v/>
      </c>
      <c r="N439" s="28" t="n"/>
      <c r="O439" s="27" t="n"/>
      <c r="P439" s="27" t="n"/>
      <c r="Q439" s="28" t="n"/>
      <c r="R439" s="27" t="n"/>
      <c r="S439" s="29" t="n"/>
      <c r="T439" s="27" t="n"/>
      <c r="U439" s="27" t="n"/>
      <c r="V439" s="26">
        <f>IF(OR(AND(E439&lt;&gt;"Up",E439&lt;&gt;"Down"),NOT(ISNUMBER(S439)),IF(E439="Up",Q439,R439)=""),"",IF(S439&gt;=100,"Back to open",IF(OR(IF(E439="Up",Q439,R439)="1-5 min",IF(E439="Up",Q439,R439)="5-15 min"),"Continued",IF(S439&gt;=50,"Partial retrace","Stalled / chop"))))</f>
        <v/>
      </c>
      <c r="W439" s="26">
        <f>IF(OR(Q439="",R439=""),"",IFERROR(IF(AND(Q439="Not by 16:00",R439="Not by 16:00"),"Neither taken",IF(FIND("|"&amp;Q439&amp;"|","|1-5 min|5-15 min|15-60 min|9:30-11:00|11:00-16:00|Not by 16:00|")=FIND("|"&amp;R439&amp;"|","|1-5 min|5-15 min|15-60 min|9:30-11:00|11:00-16:00|Not by 16:00|"),"Same window",IF(FIND("|"&amp;Q439&amp;"|","|1-5 min|5-15 min|15-60 min|9:30-11:00|11:00-16:00|Not by 16:00|")&lt;FIND("|"&amp;R439&amp;"|","|1-5 min|5-15 min|15-60 min|9:30-11:00|11:00-16:00|Not by 16:00|"),IF(E439="Up","High first (main side)",IF(E439="Down","High first (wick side)","High first")),IF(E439="Down","Low first (main side)",IF(E439="Up","Low first (wick side)","Low first"))))),"Check entries"))</f>
        <v/>
      </c>
      <c r="X439" s="28" t="n"/>
      <c r="Y439" s="27" t="n"/>
      <c r="Z439" s="27" t="n"/>
      <c r="AA439" s="27" t="n"/>
      <c r="AB439" s="27" t="n"/>
      <c r="AC439" s="27" t="n"/>
      <c r="AD439" s="27" t="n"/>
      <c r="AE439" s="28" t="n"/>
      <c r="AF439" s="30" t="n"/>
      <c r="AG439" s="27" t="n"/>
    </row>
    <row r="440">
      <c r="A440" s="25" t="n"/>
      <c r="B440" s="26">
        <f>IF(ISNUMBER(A440),TEXT(A440,"ddd"),"")</f>
        <v/>
      </c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8" t="n"/>
      <c r="M440" s="26">
        <f>IF(OR(L440="",AND(E440&lt;&gt;"Up",E440&lt;&gt;"Down")),"",IF(OR(L440="In line",L440="Mixed"),"Neutral data",IF(OR(AND(L440="Hotter",E440="Down"),AND(L440="Cooler",E440="Up")),"With data","Against data")))</f>
        <v/>
      </c>
      <c r="N440" s="28" t="n"/>
      <c r="O440" s="27" t="n"/>
      <c r="P440" s="27" t="n"/>
      <c r="Q440" s="28" t="n"/>
      <c r="R440" s="27" t="n"/>
      <c r="S440" s="29" t="n"/>
      <c r="T440" s="27" t="n"/>
      <c r="U440" s="27" t="n"/>
      <c r="V440" s="26">
        <f>IF(OR(AND(E440&lt;&gt;"Up",E440&lt;&gt;"Down"),NOT(ISNUMBER(S440)),IF(E440="Up",Q440,R440)=""),"",IF(S440&gt;=100,"Back to open",IF(OR(IF(E440="Up",Q440,R440)="1-5 min",IF(E440="Up",Q440,R440)="5-15 min"),"Continued",IF(S440&gt;=50,"Partial retrace","Stalled / chop"))))</f>
        <v/>
      </c>
      <c r="W440" s="26">
        <f>IF(OR(Q440="",R440=""),"",IFERROR(IF(AND(Q440="Not by 16:00",R440="Not by 16:00"),"Neither taken",IF(FIND("|"&amp;Q440&amp;"|","|1-5 min|5-15 min|15-60 min|9:30-11:00|11:00-16:00|Not by 16:00|")=FIND("|"&amp;R440&amp;"|","|1-5 min|5-15 min|15-60 min|9:30-11:00|11:00-16:00|Not by 16:00|"),"Same window",IF(FIND("|"&amp;Q440&amp;"|","|1-5 min|5-15 min|15-60 min|9:30-11:00|11:00-16:00|Not by 16:00|")&lt;FIND("|"&amp;R440&amp;"|","|1-5 min|5-15 min|15-60 min|9:30-11:00|11:00-16:00|Not by 16:00|"),IF(E440="Up","High first (main side)",IF(E440="Down","High first (wick side)","High first")),IF(E440="Down","Low first (main side)",IF(E440="Up","Low first (wick side)","Low first"))))),"Check entries"))</f>
        <v/>
      </c>
      <c r="X440" s="28" t="n"/>
      <c r="Y440" s="27" t="n"/>
      <c r="Z440" s="27" t="n"/>
      <c r="AA440" s="27" t="n"/>
      <c r="AB440" s="27" t="n"/>
      <c r="AC440" s="27" t="n"/>
      <c r="AD440" s="27" t="n"/>
      <c r="AE440" s="28" t="n"/>
      <c r="AF440" s="30" t="n"/>
      <c r="AG440" s="27" t="n"/>
    </row>
    <row r="441">
      <c r="A441" s="25" t="n"/>
      <c r="B441" s="26">
        <f>IF(ISNUMBER(A441),TEXT(A441,"ddd"),"")</f>
        <v/>
      </c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8" t="n"/>
      <c r="M441" s="26">
        <f>IF(OR(L441="",AND(E441&lt;&gt;"Up",E441&lt;&gt;"Down")),"",IF(OR(L441="In line",L441="Mixed"),"Neutral data",IF(OR(AND(L441="Hotter",E441="Down"),AND(L441="Cooler",E441="Up")),"With data","Against data")))</f>
        <v/>
      </c>
      <c r="N441" s="28" t="n"/>
      <c r="O441" s="27" t="n"/>
      <c r="P441" s="27" t="n"/>
      <c r="Q441" s="28" t="n"/>
      <c r="R441" s="27" t="n"/>
      <c r="S441" s="29" t="n"/>
      <c r="T441" s="27" t="n"/>
      <c r="U441" s="27" t="n"/>
      <c r="V441" s="26">
        <f>IF(OR(AND(E441&lt;&gt;"Up",E441&lt;&gt;"Down"),NOT(ISNUMBER(S441)),IF(E441="Up",Q441,R441)=""),"",IF(S441&gt;=100,"Back to open",IF(OR(IF(E441="Up",Q441,R441)="1-5 min",IF(E441="Up",Q441,R441)="5-15 min"),"Continued",IF(S441&gt;=50,"Partial retrace","Stalled / chop"))))</f>
        <v/>
      </c>
      <c r="W441" s="26">
        <f>IF(OR(Q441="",R441=""),"",IFERROR(IF(AND(Q441="Not by 16:00",R441="Not by 16:00"),"Neither taken",IF(FIND("|"&amp;Q441&amp;"|","|1-5 min|5-15 min|15-60 min|9:30-11:00|11:00-16:00|Not by 16:00|")=FIND("|"&amp;R441&amp;"|","|1-5 min|5-15 min|15-60 min|9:30-11:00|11:00-16:00|Not by 16:00|"),"Same window",IF(FIND("|"&amp;Q441&amp;"|","|1-5 min|5-15 min|15-60 min|9:30-11:00|11:00-16:00|Not by 16:00|")&lt;FIND("|"&amp;R441&amp;"|","|1-5 min|5-15 min|15-60 min|9:30-11:00|11:00-16:00|Not by 16:00|"),IF(E441="Up","High first (main side)",IF(E441="Down","High first (wick side)","High first")),IF(E441="Down","Low first (main side)",IF(E441="Up","Low first (wick side)","Low first"))))),"Check entries"))</f>
        <v/>
      </c>
      <c r="X441" s="28" t="n"/>
      <c r="Y441" s="27" t="n"/>
      <c r="Z441" s="27" t="n"/>
      <c r="AA441" s="27" t="n"/>
      <c r="AB441" s="27" t="n"/>
      <c r="AC441" s="27" t="n"/>
      <c r="AD441" s="27" t="n"/>
      <c r="AE441" s="28" t="n"/>
      <c r="AF441" s="30" t="n"/>
      <c r="AG441" s="27" t="n"/>
    </row>
    <row r="442">
      <c r="A442" s="25" t="n"/>
      <c r="B442" s="26">
        <f>IF(ISNUMBER(A442),TEXT(A442,"ddd"),"")</f>
        <v/>
      </c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8" t="n"/>
      <c r="M442" s="26">
        <f>IF(OR(L442="",AND(E442&lt;&gt;"Up",E442&lt;&gt;"Down")),"",IF(OR(L442="In line",L442="Mixed"),"Neutral data",IF(OR(AND(L442="Hotter",E442="Down"),AND(L442="Cooler",E442="Up")),"With data","Against data")))</f>
        <v/>
      </c>
      <c r="N442" s="28" t="n"/>
      <c r="O442" s="27" t="n"/>
      <c r="P442" s="27" t="n"/>
      <c r="Q442" s="28" t="n"/>
      <c r="R442" s="27" t="n"/>
      <c r="S442" s="29" t="n"/>
      <c r="T442" s="27" t="n"/>
      <c r="U442" s="27" t="n"/>
      <c r="V442" s="26">
        <f>IF(OR(AND(E442&lt;&gt;"Up",E442&lt;&gt;"Down"),NOT(ISNUMBER(S442)),IF(E442="Up",Q442,R442)=""),"",IF(S442&gt;=100,"Back to open",IF(OR(IF(E442="Up",Q442,R442)="1-5 min",IF(E442="Up",Q442,R442)="5-15 min"),"Continued",IF(S442&gt;=50,"Partial retrace","Stalled / chop"))))</f>
        <v/>
      </c>
      <c r="W442" s="26">
        <f>IF(OR(Q442="",R442=""),"",IFERROR(IF(AND(Q442="Not by 16:00",R442="Not by 16:00"),"Neither taken",IF(FIND("|"&amp;Q442&amp;"|","|1-5 min|5-15 min|15-60 min|9:30-11:00|11:00-16:00|Not by 16:00|")=FIND("|"&amp;R442&amp;"|","|1-5 min|5-15 min|15-60 min|9:30-11:00|11:00-16:00|Not by 16:00|"),"Same window",IF(FIND("|"&amp;Q442&amp;"|","|1-5 min|5-15 min|15-60 min|9:30-11:00|11:00-16:00|Not by 16:00|")&lt;FIND("|"&amp;R442&amp;"|","|1-5 min|5-15 min|15-60 min|9:30-11:00|11:00-16:00|Not by 16:00|"),IF(E442="Up","High first (main side)",IF(E442="Down","High first (wick side)","High first")),IF(E442="Down","Low first (main side)",IF(E442="Up","Low first (wick side)","Low first"))))),"Check entries"))</f>
        <v/>
      </c>
      <c r="X442" s="28" t="n"/>
      <c r="Y442" s="27" t="n"/>
      <c r="Z442" s="27" t="n"/>
      <c r="AA442" s="27" t="n"/>
      <c r="AB442" s="27" t="n"/>
      <c r="AC442" s="27" t="n"/>
      <c r="AD442" s="27" t="n"/>
      <c r="AE442" s="28" t="n"/>
      <c r="AF442" s="30" t="n"/>
      <c r="AG442" s="27" t="n"/>
    </row>
    <row r="443">
      <c r="A443" s="25" t="n"/>
      <c r="B443" s="26">
        <f>IF(ISNUMBER(A443),TEXT(A443,"ddd"),"")</f>
        <v/>
      </c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8" t="n"/>
      <c r="M443" s="26">
        <f>IF(OR(L443="",AND(E443&lt;&gt;"Up",E443&lt;&gt;"Down")),"",IF(OR(L443="In line",L443="Mixed"),"Neutral data",IF(OR(AND(L443="Hotter",E443="Down"),AND(L443="Cooler",E443="Up")),"With data","Against data")))</f>
        <v/>
      </c>
      <c r="N443" s="28" t="n"/>
      <c r="O443" s="27" t="n"/>
      <c r="P443" s="27" t="n"/>
      <c r="Q443" s="28" t="n"/>
      <c r="R443" s="27" t="n"/>
      <c r="S443" s="29" t="n"/>
      <c r="T443" s="27" t="n"/>
      <c r="U443" s="27" t="n"/>
      <c r="V443" s="26">
        <f>IF(OR(AND(E443&lt;&gt;"Up",E443&lt;&gt;"Down"),NOT(ISNUMBER(S443)),IF(E443="Up",Q443,R443)=""),"",IF(S443&gt;=100,"Back to open",IF(OR(IF(E443="Up",Q443,R443)="1-5 min",IF(E443="Up",Q443,R443)="5-15 min"),"Continued",IF(S443&gt;=50,"Partial retrace","Stalled / chop"))))</f>
        <v/>
      </c>
      <c r="W443" s="26">
        <f>IF(OR(Q443="",R443=""),"",IFERROR(IF(AND(Q443="Not by 16:00",R443="Not by 16:00"),"Neither taken",IF(FIND("|"&amp;Q443&amp;"|","|1-5 min|5-15 min|15-60 min|9:30-11:00|11:00-16:00|Not by 16:00|")=FIND("|"&amp;R443&amp;"|","|1-5 min|5-15 min|15-60 min|9:30-11:00|11:00-16:00|Not by 16:00|"),"Same window",IF(FIND("|"&amp;Q443&amp;"|","|1-5 min|5-15 min|15-60 min|9:30-11:00|11:00-16:00|Not by 16:00|")&lt;FIND("|"&amp;R443&amp;"|","|1-5 min|5-15 min|15-60 min|9:30-11:00|11:00-16:00|Not by 16:00|"),IF(E443="Up","High first (main side)",IF(E443="Down","High first (wick side)","High first")),IF(E443="Down","Low first (main side)",IF(E443="Up","Low first (wick side)","Low first"))))),"Check entries"))</f>
        <v/>
      </c>
      <c r="X443" s="28" t="n"/>
      <c r="Y443" s="27" t="n"/>
      <c r="Z443" s="27" t="n"/>
      <c r="AA443" s="27" t="n"/>
      <c r="AB443" s="27" t="n"/>
      <c r="AC443" s="27" t="n"/>
      <c r="AD443" s="27" t="n"/>
      <c r="AE443" s="28" t="n"/>
      <c r="AF443" s="30" t="n"/>
      <c r="AG443" s="27" t="n"/>
    </row>
    <row r="444">
      <c r="A444" s="25" t="n"/>
      <c r="B444" s="26">
        <f>IF(ISNUMBER(A444),TEXT(A444,"ddd"),"")</f>
        <v/>
      </c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8" t="n"/>
      <c r="M444" s="26">
        <f>IF(OR(L444="",AND(E444&lt;&gt;"Up",E444&lt;&gt;"Down")),"",IF(OR(L444="In line",L444="Mixed"),"Neutral data",IF(OR(AND(L444="Hotter",E444="Down"),AND(L444="Cooler",E444="Up")),"With data","Against data")))</f>
        <v/>
      </c>
      <c r="N444" s="28" t="n"/>
      <c r="O444" s="27" t="n"/>
      <c r="P444" s="27" t="n"/>
      <c r="Q444" s="28" t="n"/>
      <c r="R444" s="27" t="n"/>
      <c r="S444" s="29" t="n"/>
      <c r="T444" s="27" t="n"/>
      <c r="U444" s="27" t="n"/>
      <c r="V444" s="26">
        <f>IF(OR(AND(E444&lt;&gt;"Up",E444&lt;&gt;"Down"),NOT(ISNUMBER(S444)),IF(E444="Up",Q444,R444)=""),"",IF(S444&gt;=100,"Back to open",IF(OR(IF(E444="Up",Q444,R444)="1-5 min",IF(E444="Up",Q444,R444)="5-15 min"),"Continued",IF(S444&gt;=50,"Partial retrace","Stalled / chop"))))</f>
        <v/>
      </c>
      <c r="W444" s="26">
        <f>IF(OR(Q444="",R444=""),"",IFERROR(IF(AND(Q444="Not by 16:00",R444="Not by 16:00"),"Neither taken",IF(FIND("|"&amp;Q444&amp;"|","|1-5 min|5-15 min|15-60 min|9:30-11:00|11:00-16:00|Not by 16:00|")=FIND("|"&amp;R444&amp;"|","|1-5 min|5-15 min|15-60 min|9:30-11:00|11:00-16:00|Not by 16:00|"),"Same window",IF(FIND("|"&amp;Q444&amp;"|","|1-5 min|5-15 min|15-60 min|9:30-11:00|11:00-16:00|Not by 16:00|")&lt;FIND("|"&amp;R444&amp;"|","|1-5 min|5-15 min|15-60 min|9:30-11:00|11:00-16:00|Not by 16:00|"),IF(E444="Up","High first (main side)",IF(E444="Down","High first (wick side)","High first")),IF(E444="Down","Low first (main side)",IF(E444="Up","Low first (wick side)","Low first"))))),"Check entries"))</f>
        <v/>
      </c>
      <c r="X444" s="28" t="n"/>
      <c r="Y444" s="27" t="n"/>
      <c r="Z444" s="27" t="n"/>
      <c r="AA444" s="27" t="n"/>
      <c r="AB444" s="27" t="n"/>
      <c r="AC444" s="27" t="n"/>
      <c r="AD444" s="27" t="n"/>
      <c r="AE444" s="28" t="n"/>
      <c r="AF444" s="30" t="n"/>
      <c r="AG444" s="27" t="n"/>
    </row>
    <row r="445">
      <c r="A445" s="25" t="n"/>
      <c r="B445" s="26">
        <f>IF(ISNUMBER(A445),TEXT(A445,"ddd"),"")</f>
        <v/>
      </c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8" t="n"/>
      <c r="M445" s="26">
        <f>IF(OR(L445="",AND(E445&lt;&gt;"Up",E445&lt;&gt;"Down")),"",IF(OR(L445="In line",L445="Mixed"),"Neutral data",IF(OR(AND(L445="Hotter",E445="Down"),AND(L445="Cooler",E445="Up")),"With data","Against data")))</f>
        <v/>
      </c>
      <c r="N445" s="28" t="n"/>
      <c r="O445" s="27" t="n"/>
      <c r="P445" s="27" t="n"/>
      <c r="Q445" s="28" t="n"/>
      <c r="R445" s="27" t="n"/>
      <c r="S445" s="29" t="n"/>
      <c r="T445" s="27" t="n"/>
      <c r="U445" s="27" t="n"/>
      <c r="V445" s="26">
        <f>IF(OR(AND(E445&lt;&gt;"Up",E445&lt;&gt;"Down"),NOT(ISNUMBER(S445)),IF(E445="Up",Q445,R445)=""),"",IF(S445&gt;=100,"Back to open",IF(OR(IF(E445="Up",Q445,R445)="1-5 min",IF(E445="Up",Q445,R445)="5-15 min"),"Continued",IF(S445&gt;=50,"Partial retrace","Stalled / chop"))))</f>
        <v/>
      </c>
      <c r="W445" s="26">
        <f>IF(OR(Q445="",R445=""),"",IFERROR(IF(AND(Q445="Not by 16:00",R445="Not by 16:00"),"Neither taken",IF(FIND("|"&amp;Q445&amp;"|","|1-5 min|5-15 min|15-60 min|9:30-11:00|11:00-16:00|Not by 16:00|")=FIND("|"&amp;R445&amp;"|","|1-5 min|5-15 min|15-60 min|9:30-11:00|11:00-16:00|Not by 16:00|"),"Same window",IF(FIND("|"&amp;Q445&amp;"|","|1-5 min|5-15 min|15-60 min|9:30-11:00|11:00-16:00|Not by 16:00|")&lt;FIND("|"&amp;R445&amp;"|","|1-5 min|5-15 min|15-60 min|9:30-11:00|11:00-16:00|Not by 16:00|"),IF(E445="Up","High first (main side)",IF(E445="Down","High first (wick side)","High first")),IF(E445="Down","Low first (main side)",IF(E445="Up","Low first (wick side)","Low first"))))),"Check entries"))</f>
        <v/>
      </c>
      <c r="X445" s="28" t="n"/>
      <c r="Y445" s="27" t="n"/>
      <c r="Z445" s="27" t="n"/>
      <c r="AA445" s="27" t="n"/>
      <c r="AB445" s="27" t="n"/>
      <c r="AC445" s="27" t="n"/>
      <c r="AD445" s="27" t="n"/>
      <c r="AE445" s="28" t="n"/>
      <c r="AF445" s="30" t="n"/>
      <c r="AG445" s="27" t="n"/>
    </row>
    <row r="446">
      <c r="A446" s="25" t="n"/>
      <c r="B446" s="26">
        <f>IF(ISNUMBER(A446),TEXT(A446,"ddd"),"")</f>
        <v/>
      </c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8" t="n"/>
      <c r="M446" s="26">
        <f>IF(OR(L446="",AND(E446&lt;&gt;"Up",E446&lt;&gt;"Down")),"",IF(OR(L446="In line",L446="Mixed"),"Neutral data",IF(OR(AND(L446="Hotter",E446="Down"),AND(L446="Cooler",E446="Up")),"With data","Against data")))</f>
        <v/>
      </c>
      <c r="N446" s="28" t="n"/>
      <c r="O446" s="27" t="n"/>
      <c r="P446" s="27" t="n"/>
      <c r="Q446" s="28" t="n"/>
      <c r="R446" s="27" t="n"/>
      <c r="S446" s="29" t="n"/>
      <c r="T446" s="27" t="n"/>
      <c r="U446" s="27" t="n"/>
      <c r="V446" s="26">
        <f>IF(OR(AND(E446&lt;&gt;"Up",E446&lt;&gt;"Down"),NOT(ISNUMBER(S446)),IF(E446="Up",Q446,R446)=""),"",IF(S446&gt;=100,"Back to open",IF(OR(IF(E446="Up",Q446,R446)="1-5 min",IF(E446="Up",Q446,R446)="5-15 min"),"Continued",IF(S446&gt;=50,"Partial retrace","Stalled / chop"))))</f>
        <v/>
      </c>
      <c r="W446" s="26">
        <f>IF(OR(Q446="",R446=""),"",IFERROR(IF(AND(Q446="Not by 16:00",R446="Not by 16:00"),"Neither taken",IF(FIND("|"&amp;Q446&amp;"|","|1-5 min|5-15 min|15-60 min|9:30-11:00|11:00-16:00|Not by 16:00|")=FIND("|"&amp;R446&amp;"|","|1-5 min|5-15 min|15-60 min|9:30-11:00|11:00-16:00|Not by 16:00|"),"Same window",IF(FIND("|"&amp;Q446&amp;"|","|1-5 min|5-15 min|15-60 min|9:30-11:00|11:00-16:00|Not by 16:00|")&lt;FIND("|"&amp;R446&amp;"|","|1-5 min|5-15 min|15-60 min|9:30-11:00|11:00-16:00|Not by 16:00|"),IF(E446="Up","High first (main side)",IF(E446="Down","High first (wick side)","High first")),IF(E446="Down","Low first (main side)",IF(E446="Up","Low first (wick side)","Low first"))))),"Check entries"))</f>
        <v/>
      </c>
      <c r="X446" s="28" t="n"/>
      <c r="Y446" s="27" t="n"/>
      <c r="Z446" s="27" t="n"/>
      <c r="AA446" s="27" t="n"/>
      <c r="AB446" s="27" t="n"/>
      <c r="AC446" s="27" t="n"/>
      <c r="AD446" s="27" t="n"/>
      <c r="AE446" s="28" t="n"/>
      <c r="AF446" s="30" t="n"/>
      <c r="AG446" s="27" t="n"/>
    </row>
    <row r="447">
      <c r="A447" s="25" t="n"/>
      <c r="B447" s="26">
        <f>IF(ISNUMBER(A447),TEXT(A447,"ddd"),"")</f>
        <v/>
      </c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8" t="n"/>
      <c r="M447" s="26">
        <f>IF(OR(L447="",AND(E447&lt;&gt;"Up",E447&lt;&gt;"Down")),"",IF(OR(L447="In line",L447="Mixed"),"Neutral data",IF(OR(AND(L447="Hotter",E447="Down"),AND(L447="Cooler",E447="Up")),"With data","Against data")))</f>
        <v/>
      </c>
      <c r="N447" s="28" t="n"/>
      <c r="O447" s="27" t="n"/>
      <c r="P447" s="27" t="n"/>
      <c r="Q447" s="28" t="n"/>
      <c r="R447" s="27" t="n"/>
      <c r="S447" s="29" t="n"/>
      <c r="T447" s="27" t="n"/>
      <c r="U447" s="27" t="n"/>
      <c r="V447" s="26">
        <f>IF(OR(AND(E447&lt;&gt;"Up",E447&lt;&gt;"Down"),NOT(ISNUMBER(S447)),IF(E447="Up",Q447,R447)=""),"",IF(S447&gt;=100,"Back to open",IF(OR(IF(E447="Up",Q447,R447)="1-5 min",IF(E447="Up",Q447,R447)="5-15 min"),"Continued",IF(S447&gt;=50,"Partial retrace","Stalled / chop"))))</f>
        <v/>
      </c>
      <c r="W447" s="26">
        <f>IF(OR(Q447="",R447=""),"",IFERROR(IF(AND(Q447="Not by 16:00",R447="Not by 16:00"),"Neither taken",IF(FIND("|"&amp;Q447&amp;"|","|1-5 min|5-15 min|15-60 min|9:30-11:00|11:00-16:00|Not by 16:00|")=FIND("|"&amp;R447&amp;"|","|1-5 min|5-15 min|15-60 min|9:30-11:00|11:00-16:00|Not by 16:00|"),"Same window",IF(FIND("|"&amp;Q447&amp;"|","|1-5 min|5-15 min|15-60 min|9:30-11:00|11:00-16:00|Not by 16:00|")&lt;FIND("|"&amp;R447&amp;"|","|1-5 min|5-15 min|15-60 min|9:30-11:00|11:00-16:00|Not by 16:00|"),IF(E447="Up","High first (main side)",IF(E447="Down","High first (wick side)","High first")),IF(E447="Down","Low first (main side)",IF(E447="Up","Low first (wick side)","Low first"))))),"Check entries"))</f>
        <v/>
      </c>
      <c r="X447" s="28" t="n"/>
      <c r="Y447" s="27" t="n"/>
      <c r="Z447" s="27" t="n"/>
      <c r="AA447" s="27" t="n"/>
      <c r="AB447" s="27" t="n"/>
      <c r="AC447" s="27" t="n"/>
      <c r="AD447" s="27" t="n"/>
      <c r="AE447" s="28" t="n"/>
      <c r="AF447" s="30" t="n"/>
      <c r="AG447" s="27" t="n"/>
    </row>
    <row r="448">
      <c r="A448" s="25" t="n"/>
      <c r="B448" s="26">
        <f>IF(ISNUMBER(A448),TEXT(A448,"ddd"),"")</f>
        <v/>
      </c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8" t="n"/>
      <c r="M448" s="26">
        <f>IF(OR(L448="",AND(E448&lt;&gt;"Up",E448&lt;&gt;"Down")),"",IF(OR(L448="In line",L448="Mixed"),"Neutral data",IF(OR(AND(L448="Hotter",E448="Down"),AND(L448="Cooler",E448="Up")),"With data","Against data")))</f>
        <v/>
      </c>
      <c r="N448" s="28" t="n"/>
      <c r="O448" s="27" t="n"/>
      <c r="P448" s="27" t="n"/>
      <c r="Q448" s="28" t="n"/>
      <c r="R448" s="27" t="n"/>
      <c r="S448" s="29" t="n"/>
      <c r="T448" s="27" t="n"/>
      <c r="U448" s="27" t="n"/>
      <c r="V448" s="26">
        <f>IF(OR(AND(E448&lt;&gt;"Up",E448&lt;&gt;"Down"),NOT(ISNUMBER(S448)),IF(E448="Up",Q448,R448)=""),"",IF(S448&gt;=100,"Back to open",IF(OR(IF(E448="Up",Q448,R448)="1-5 min",IF(E448="Up",Q448,R448)="5-15 min"),"Continued",IF(S448&gt;=50,"Partial retrace","Stalled / chop"))))</f>
        <v/>
      </c>
      <c r="W448" s="26">
        <f>IF(OR(Q448="",R448=""),"",IFERROR(IF(AND(Q448="Not by 16:00",R448="Not by 16:00"),"Neither taken",IF(FIND("|"&amp;Q448&amp;"|","|1-5 min|5-15 min|15-60 min|9:30-11:00|11:00-16:00|Not by 16:00|")=FIND("|"&amp;R448&amp;"|","|1-5 min|5-15 min|15-60 min|9:30-11:00|11:00-16:00|Not by 16:00|"),"Same window",IF(FIND("|"&amp;Q448&amp;"|","|1-5 min|5-15 min|15-60 min|9:30-11:00|11:00-16:00|Not by 16:00|")&lt;FIND("|"&amp;R448&amp;"|","|1-5 min|5-15 min|15-60 min|9:30-11:00|11:00-16:00|Not by 16:00|"),IF(E448="Up","High first (main side)",IF(E448="Down","High first (wick side)","High first")),IF(E448="Down","Low first (main side)",IF(E448="Up","Low first (wick side)","Low first"))))),"Check entries"))</f>
        <v/>
      </c>
      <c r="X448" s="28" t="n"/>
      <c r="Y448" s="27" t="n"/>
      <c r="Z448" s="27" t="n"/>
      <c r="AA448" s="27" t="n"/>
      <c r="AB448" s="27" t="n"/>
      <c r="AC448" s="27" t="n"/>
      <c r="AD448" s="27" t="n"/>
      <c r="AE448" s="28" t="n"/>
      <c r="AF448" s="30" t="n"/>
      <c r="AG448" s="27" t="n"/>
    </row>
    <row r="449">
      <c r="A449" s="25" t="n"/>
      <c r="B449" s="26">
        <f>IF(ISNUMBER(A449),TEXT(A449,"ddd"),"")</f>
        <v/>
      </c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8" t="n"/>
      <c r="M449" s="26">
        <f>IF(OR(L449="",AND(E449&lt;&gt;"Up",E449&lt;&gt;"Down")),"",IF(OR(L449="In line",L449="Mixed"),"Neutral data",IF(OR(AND(L449="Hotter",E449="Down"),AND(L449="Cooler",E449="Up")),"With data","Against data")))</f>
        <v/>
      </c>
      <c r="N449" s="28" t="n"/>
      <c r="O449" s="27" t="n"/>
      <c r="P449" s="27" t="n"/>
      <c r="Q449" s="28" t="n"/>
      <c r="R449" s="27" t="n"/>
      <c r="S449" s="29" t="n"/>
      <c r="T449" s="27" t="n"/>
      <c r="U449" s="27" t="n"/>
      <c r="V449" s="26">
        <f>IF(OR(AND(E449&lt;&gt;"Up",E449&lt;&gt;"Down"),NOT(ISNUMBER(S449)),IF(E449="Up",Q449,R449)=""),"",IF(S449&gt;=100,"Back to open",IF(OR(IF(E449="Up",Q449,R449)="1-5 min",IF(E449="Up",Q449,R449)="5-15 min"),"Continued",IF(S449&gt;=50,"Partial retrace","Stalled / chop"))))</f>
        <v/>
      </c>
      <c r="W449" s="26">
        <f>IF(OR(Q449="",R449=""),"",IFERROR(IF(AND(Q449="Not by 16:00",R449="Not by 16:00"),"Neither taken",IF(FIND("|"&amp;Q449&amp;"|","|1-5 min|5-15 min|15-60 min|9:30-11:00|11:00-16:00|Not by 16:00|")=FIND("|"&amp;R449&amp;"|","|1-5 min|5-15 min|15-60 min|9:30-11:00|11:00-16:00|Not by 16:00|"),"Same window",IF(FIND("|"&amp;Q449&amp;"|","|1-5 min|5-15 min|15-60 min|9:30-11:00|11:00-16:00|Not by 16:00|")&lt;FIND("|"&amp;R449&amp;"|","|1-5 min|5-15 min|15-60 min|9:30-11:00|11:00-16:00|Not by 16:00|"),IF(E449="Up","High first (main side)",IF(E449="Down","High first (wick side)","High first")),IF(E449="Down","Low first (main side)",IF(E449="Up","Low first (wick side)","Low first"))))),"Check entries"))</f>
        <v/>
      </c>
      <c r="X449" s="28" t="n"/>
      <c r="Y449" s="27" t="n"/>
      <c r="Z449" s="27" t="n"/>
      <c r="AA449" s="27" t="n"/>
      <c r="AB449" s="27" t="n"/>
      <c r="AC449" s="27" t="n"/>
      <c r="AD449" s="27" t="n"/>
      <c r="AE449" s="28" t="n"/>
      <c r="AF449" s="30" t="n"/>
      <c r="AG449" s="27" t="n"/>
    </row>
    <row r="450">
      <c r="A450" s="25" t="n"/>
      <c r="B450" s="26">
        <f>IF(ISNUMBER(A450),TEXT(A450,"ddd"),"")</f>
        <v/>
      </c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8" t="n"/>
      <c r="M450" s="26">
        <f>IF(OR(L450="",AND(E450&lt;&gt;"Up",E450&lt;&gt;"Down")),"",IF(OR(L450="In line",L450="Mixed"),"Neutral data",IF(OR(AND(L450="Hotter",E450="Down"),AND(L450="Cooler",E450="Up")),"With data","Against data")))</f>
        <v/>
      </c>
      <c r="N450" s="28" t="n"/>
      <c r="O450" s="27" t="n"/>
      <c r="P450" s="27" t="n"/>
      <c r="Q450" s="28" t="n"/>
      <c r="R450" s="27" t="n"/>
      <c r="S450" s="29" t="n"/>
      <c r="T450" s="27" t="n"/>
      <c r="U450" s="27" t="n"/>
      <c r="V450" s="26">
        <f>IF(OR(AND(E450&lt;&gt;"Up",E450&lt;&gt;"Down"),NOT(ISNUMBER(S450)),IF(E450="Up",Q450,R450)=""),"",IF(S450&gt;=100,"Back to open",IF(OR(IF(E450="Up",Q450,R450)="1-5 min",IF(E450="Up",Q450,R450)="5-15 min"),"Continued",IF(S450&gt;=50,"Partial retrace","Stalled / chop"))))</f>
        <v/>
      </c>
      <c r="W450" s="26">
        <f>IF(OR(Q450="",R450=""),"",IFERROR(IF(AND(Q450="Not by 16:00",R450="Not by 16:00"),"Neither taken",IF(FIND("|"&amp;Q450&amp;"|","|1-5 min|5-15 min|15-60 min|9:30-11:00|11:00-16:00|Not by 16:00|")=FIND("|"&amp;R450&amp;"|","|1-5 min|5-15 min|15-60 min|9:30-11:00|11:00-16:00|Not by 16:00|"),"Same window",IF(FIND("|"&amp;Q450&amp;"|","|1-5 min|5-15 min|15-60 min|9:30-11:00|11:00-16:00|Not by 16:00|")&lt;FIND("|"&amp;R450&amp;"|","|1-5 min|5-15 min|15-60 min|9:30-11:00|11:00-16:00|Not by 16:00|"),IF(E450="Up","High first (main side)",IF(E450="Down","High first (wick side)","High first")),IF(E450="Down","Low first (main side)",IF(E450="Up","Low first (wick side)","Low first"))))),"Check entries"))</f>
        <v/>
      </c>
      <c r="X450" s="28" t="n"/>
      <c r="Y450" s="27" t="n"/>
      <c r="Z450" s="27" t="n"/>
      <c r="AA450" s="27" t="n"/>
      <c r="AB450" s="27" t="n"/>
      <c r="AC450" s="27" t="n"/>
      <c r="AD450" s="27" t="n"/>
      <c r="AE450" s="28" t="n"/>
      <c r="AF450" s="30" t="n"/>
      <c r="AG450" s="27" t="n"/>
    </row>
    <row r="451">
      <c r="A451" s="25" t="n"/>
      <c r="B451" s="26">
        <f>IF(ISNUMBER(A451),TEXT(A451,"ddd"),"")</f>
        <v/>
      </c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8" t="n"/>
      <c r="M451" s="26">
        <f>IF(OR(L451="",AND(E451&lt;&gt;"Up",E451&lt;&gt;"Down")),"",IF(OR(L451="In line",L451="Mixed"),"Neutral data",IF(OR(AND(L451="Hotter",E451="Down"),AND(L451="Cooler",E451="Up")),"With data","Against data")))</f>
        <v/>
      </c>
      <c r="N451" s="28" t="n"/>
      <c r="O451" s="27" t="n"/>
      <c r="P451" s="27" t="n"/>
      <c r="Q451" s="28" t="n"/>
      <c r="R451" s="27" t="n"/>
      <c r="S451" s="29" t="n"/>
      <c r="T451" s="27" t="n"/>
      <c r="U451" s="27" t="n"/>
      <c r="V451" s="26">
        <f>IF(OR(AND(E451&lt;&gt;"Up",E451&lt;&gt;"Down"),NOT(ISNUMBER(S451)),IF(E451="Up",Q451,R451)=""),"",IF(S451&gt;=100,"Back to open",IF(OR(IF(E451="Up",Q451,R451)="1-5 min",IF(E451="Up",Q451,R451)="5-15 min"),"Continued",IF(S451&gt;=50,"Partial retrace","Stalled / chop"))))</f>
        <v/>
      </c>
      <c r="W451" s="26">
        <f>IF(OR(Q451="",R451=""),"",IFERROR(IF(AND(Q451="Not by 16:00",R451="Not by 16:00"),"Neither taken",IF(FIND("|"&amp;Q451&amp;"|","|1-5 min|5-15 min|15-60 min|9:30-11:00|11:00-16:00|Not by 16:00|")=FIND("|"&amp;R451&amp;"|","|1-5 min|5-15 min|15-60 min|9:30-11:00|11:00-16:00|Not by 16:00|"),"Same window",IF(FIND("|"&amp;Q451&amp;"|","|1-5 min|5-15 min|15-60 min|9:30-11:00|11:00-16:00|Not by 16:00|")&lt;FIND("|"&amp;R451&amp;"|","|1-5 min|5-15 min|15-60 min|9:30-11:00|11:00-16:00|Not by 16:00|"),IF(E451="Up","High first (main side)",IF(E451="Down","High first (wick side)","High first")),IF(E451="Down","Low first (main side)",IF(E451="Up","Low first (wick side)","Low first"))))),"Check entries"))</f>
        <v/>
      </c>
      <c r="X451" s="28" t="n"/>
      <c r="Y451" s="27" t="n"/>
      <c r="Z451" s="27" t="n"/>
      <c r="AA451" s="27" t="n"/>
      <c r="AB451" s="27" t="n"/>
      <c r="AC451" s="27" t="n"/>
      <c r="AD451" s="27" t="n"/>
      <c r="AE451" s="28" t="n"/>
      <c r="AF451" s="30" t="n"/>
      <c r="AG451" s="27" t="n"/>
    </row>
    <row r="452">
      <c r="A452" s="25" t="n"/>
      <c r="B452" s="26">
        <f>IF(ISNUMBER(A452),TEXT(A452,"ddd"),"")</f>
        <v/>
      </c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8" t="n"/>
      <c r="M452" s="26">
        <f>IF(OR(L452="",AND(E452&lt;&gt;"Up",E452&lt;&gt;"Down")),"",IF(OR(L452="In line",L452="Mixed"),"Neutral data",IF(OR(AND(L452="Hotter",E452="Down"),AND(L452="Cooler",E452="Up")),"With data","Against data")))</f>
        <v/>
      </c>
      <c r="N452" s="28" t="n"/>
      <c r="O452" s="27" t="n"/>
      <c r="P452" s="27" t="n"/>
      <c r="Q452" s="28" t="n"/>
      <c r="R452" s="27" t="n"/>
      <c r="S452" s="29" t="n"/>
      <c r="T452" s="27" t="n"/>
      <c r="U452" s="27" t="n"/>
      <c r="V452" s="26">
        <f>IF(OR(AND(E452&lt;&gt;"Up",E452&lt;&gt;"Down"),NOT(ISNUMBER(S452)),IF(E452="Up",Q452,R452)=""),"",IF(S452&gt;=100,"Back to open",IF(OR(IF(E452="Up",Q452,R452)="1-5 min",IF(E452="Up",Q452,R452)="5-15 min"),"Continued",IF(S452&gt;=50,"Partial retrace","Stalled / chop"))))</f>
        <v/>
      </c>
      <c r="W452" s="26">
        <f>IF(OR(Q452="",R452=""),"",IFERROR(IF(AND(Q452="Not by 16:00",R452="Not by 16:00"),"Neither taken",IF(FIND("|"&amp;Q452&amp;"|","|1-5 min|5-15 min|15-60 min|9:30-11:00|11:00-16:00|Not by 16:00|")=FIND("|"&amp;R452&amp;"|","|1-5 min|5-15 min|15-60 min|9:30-11:00|11:00-16:00|Not by 16:00|"),"Same window",IF(FIND("|"&amp;Q452&amp;"|","|1-5 min|5-15 min|15-60 min|9:30-11:00|11:00-16:00|Not by 16:00|")&lt;FIND("|"&amp;R452&amp;"|","|1-5 min|5-15 min|15-60 min|9:30-11:00|11:00-16:00|Not by 16:00|"),IF(E452="Up","High first (main side)",IF(E452="Down","High first (wick side)","High first")),IF(E452="Down","Low first (main side)",IF(E452="Up","Low first (wick side)","Low first"))))),"Check entries"))</f>
        <v/>
      </c>
      <c r="X452" s="28" t="n"/>
      <c r="Y452" s="27" t="n"/>
      <c r="Z452" s="27" t="n"/>
      <c r="AA452" s="27" t="n"/>
      <c r="AB452" s="27" t="n"/>
      <c r="AC452" s="27" t="n"/>
      <c r="AD452" s="27" t="n"/>
      <c r="AE452" s="28" t="n"/>
      <c r="AF452" s="30" t="n"/>
      <c r="AG452" s="27" t="n"/>
    </row>
    <row r="453">
      <c r="A453" s="25" t="n"/>
      <c r="B453" s="26">
        <f>IF(ISNUMBER(A453),TEXT(A453,"ddd"),"")</f>
        <v/>
      </c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8" t="n"/>
      <c r="M453" s="26">
        <f>IF(OR(L453="",AND(E453&lt;&gt;"Up",E453&lt;&gt;"Down")),"",IF(OR(L453="In line",L453="Mixed"),"Neutral data",IF(OR(AND(L453="Hotter",E453="Down"),AND(L453="Cooler",E453="Up")),"With data","Against data")))</f>
        <v/>
      </c>
      <c r="N453" s="28" t="n"/>
      <c r="O453" s="27" t="n"/>
      <c r="P453" s="27" t="n"/>
      <c r="Q453" s="28" t="n"/>
      <c r="R453" s="27" t="n"/>
      <c r="S453" s="29" t="n"/>
      <c r="T453" s="27" t="n"/>
      <c r="U453" s="27" t="n"/>
      <c r="V453" s="26">
        <f>IF(OR(AND(E453&lt;&gt;"Up",E453&lt;&gt;"Down"),NOT(ISNUMBER(S453)),IF(E453="Up",Q453,R453)=""),"",IF(S453&gt;=100,"Back to open",IF(OR(IF(E453="Up",Q453,R453)="1-5 min",IF(E453="Up",Q453,R453)="5-15 min"),"Continued",IF(S453&gt;=50,"Partial retrace","Stalled / chop"))))</f>
        <v/>
      </c>
      <c r="W453" s="26">
        <f>IF(OR(Q453="",R453=""),"",IFERROR(IF(AND(Q453="Not by 16:00",R453="Not by 16:00"),"Neither taken",IF(FIND("|"&amp;Q453&amp;"|","|1-5 min|5-15 min|15-60 min|9:30-11:00|11:00-16:00|Not by 16:00|")=FIND("|"&amp;R453&amp;"|","|1-5 min|5-15 min|15-60 min|9:30-11:00|11:00-16:00|Not by 16:00|"),"Same window",IF(FIND("|"&amp;Q453&amp;"|","|1-5 min|5-15 min|15-60 min|9:30-11:00|11:00-16:00|Not by 16:00|")&lt;FIND("|"&amp;R453&amp;"|","|1-5 min|5-15 min|15-60 min|9:30-11:00|11:00-16:00|Not by 16:00|"),IF(E453="Up","High first (main side)",IF(E453="Down","High first (wick side)","High first")),IF(E453="Down","Low first (main side)",IF(E453="Up","Low first (wick side)","Low first"))))),"Check entries"))</f>
        <v/>
      </c>
      <c r="X453" s="28" t="n"/>
      <c r="Y453" s="27" t="n"/>
      <c r="Z453" s="27" t="n"/>
      <c r="AA453" s="27" t="n"/>
      <c r="AB453" s="27" t="n"/>
      <c r="AC453" s="27" t="n"/>
      <c r="AD453" s="27" t="n"/>
      <c r="AE453" s="28" t="n"/>
      <c r="AF453" s="30" t="n"/>
      <c r="AG453" s="27" t="n"/>
    </row>
    <row r="454">
      <c r="A454" s="25" t="n"/>
      <c r="B454" s="26">
        <f>IF(ISNUMBER(A454),TEXT(A454,"ddd"),"")</f>
        <v/>
      </c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8" t="n"/>
      <c r="M454" s="26">
        <f>IF(OR(L454="",AND(E454&lt;&gt;"Up",E454&lt;&gt;"Down")),"",IF(OR(L454="In line",L454="Mixed"),"Neutral data",IF(OR(AND(L454="Hotter",E454="Down"),AND(L454="Cooler",E454="Up")),"With data","Against data")))</f>
        <v/>
      </c>
      <c r="N454" s="28" t="n"/>
      <c r="O454" s="27" t="n"/>
      <c r="P454" s="27" t="n"/>
      <c r="Q454" s="28" t="n"/>
      <c r="R454" s="27" t="n"/>
      <c r="S454" s="29" t="n"/>
      <c r="T454" s="27" t="n"/>
      <c r="U454" s="27" t="n"/>
      <c r="V454" s="26">
        <f>IF(OR(AND(E454&lt;&gt;"Up",E454&lt;&gt;"Down"),NOT(ISNUMBER(S454)),IF(E454="Up",Q454,R454)=""),"",IF(S454&gt;=100,"Back to open",IF(OR(IF(E454="Up",Q454,R454)="1-5 min",IF(E454="Up",Q454,R454)="5-15 min"),"Continued",IF(S454&gt;=50,"Partial retrace","Stalled / chop"))))</f>
        <v/>
      </c>
      <c r="W454" s="26">
        <f>IF(OR(Q454="",R454=""),"",IFERROR(IF(AND(Q454="Not by 16:00",R454="Not by 16:00"),"Neither taken",IF(FIND("|"&amp;Q454&amp;"|","|1-5 min|5-15 min|15-60 min|9:30-11:00|11:00-16:00|Not by 16:00|")=FIND("|"&amp;R454&amp;"|","|1-5 min|5-15 min|15-60 min|9:30-11:00|11:00-16:00|Not by 16:00|"),"Same window",IF(FIND("|"&amp;Q454&amp;"|","|1-5 min|5-15 min|15-60 min|9:30-11:00|11:00-16:00|Not by 16:00|")&lt;FIND("|"&amp;R454&amp;"|","|1-5 min|5-15 min|15-60 min|9:30-11:00|11:00-16:00|Not by 16:00|"),IF(E454="Up","High first (main side)",IF(E454="Down","High first (wick side)","High first")),IF(E454="Down","Low first (main side)",IF(E454="Up","Low first (wick side)","Low first"))))),"Check entries"))</f>
        <v/>
      </c>
      <c r="X454" s="28" t="n"/>
      <c r="Y454" s="27" t="n"/>
      <c r="Z454" s="27" t="n"/>
      <c r="AA454" s="27" t="n"/>
      <c r="AB454" s="27" t="n"/>
      <c r="AC454" s="27" t="n"/>
      <c r="AD454" s="27" t="n"/>
      <c r="AE454" s="28" t="n"/>
      <c r="AF454" s="30" t="n"/>
      <c r="AG454" s="27" t="n"/>
    </row>
    <row r="455">
      <c r="A455" s="25" t="n"/>
      <c r="B455" s="26">
        <f>IF(ISNUMBER(A455),TEXT(A455,"ddd"),"")</f>
        <v/>
      </c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8" t="n"/>
      <c r="M455" s="26">
        <f>IF(OR(L455="",AND(E455&lt;&gt;"Up",E455&lt;&gt;"Down")),"",IF(OR(L455="In line",L455="Mixed"),"Neutral data",IF(OR(AND(L455="Hotter",E455="Down"),AND(L455="Cooler",E455="Up")),"With data","Against data")))</f>
        <v/>
      </c>
      <c r="N455" s="28" t="n"/>
      <c r="O455" s="27" t="n"/>
      <c r="P455" s="27" t="n"/>
      <c r="Q455" s="28" t="n"/>
      <c r="R455" s="27" t="n"/>
      <c r="S455" s="29" t="n"/>
      <c r="T455" s="27" t="n"/>
      <c r="U455" s="27" t="n"/>
      <c r="V455" s="26">
        <f>IF(OR(AND(E455&lt;&gt;"Up",E455&lt;&gt;"Down"),NOT(ISNUMBER(S455)),IF(E455="Up",Q455,R455)=""),"",IF(S455&gt;=100,"Back to open",IF(OR(IF(E455="Up",Q455,R455)="1-5 min",IF(E455="Up",Q455,R455)="5-15 min"),"Continued",IF(S455&gt;=50,"Partial retrace","Stalled / chop"))))</f>
        <v/>
      </c>
      <c r="W455" s="26">
        <f>IF(OR(Q455="",R455=""),"",IFERROR(IF(AND(Q455="Not by 16:00",R455="Not by 16:00"),"Neither taken",IF(FIND("|"&amp;Q455&amp;"|","|1-5 min|5-15 min|15-60 min|9:30-11:00|11:00-16:00|Not by 16:00|")=FIND("|"&amp;R455&amp;"|","|1-5 min|5-15 min|15-60 min|9:30-11:00|11:00-16:00|Not by 16:00|"),"Same window",IF(FIND("|"&amp;Q455&amp;"|","|1-5 min|5-15 min|15-60 min|9:30-11:00|11:00-16:00|Not by 16:00|")&lt;FIND("|"&amp;R455&amp;"|","|1-5 min|5-15 min|15-60 min|9:30-11:00|11:00-16:00|Not by 16:00|"),IF(E455="Up","High first (main side)",IF(E455="Down","High first (wick side)","High first")),IF(E455="Down","Low first (main side)",IF(E455="Up","Low first (wick side)","Low first"))))),"Check entries"))</f>
        <v/>
      </c>
      <c r="X455" s="28" t="n"/>
      <c r="Y455" s="27" t="n"/>
      <c r="Z455" s="27" t="n"/>
      <c r="AA455" s="27" t="n"/>
      <c r="AB455" s="27" t="n"/>
      <c r="AC455" s="27" t="n"/>
      <c r="AD455" s="27" t="n"/>
      <c r="AE455" s="28" t="n"/>
      <c r="AF455" s="30" t="n"/>
      <c r="AG455" s="27" t="n"/>
    </row>
    <row r="456">
      <c r="A456" s="25" t="n"/>
      <c r="B456" s="26">
        <f>IF(ISNUMBER(A456),TEXT(A456,"ddd"),"")</f>
        <v/>
      </c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8" t="n"/>
      <c r="M456" s="26">
        <f>IF(OR(L456="",AND(E456&lt;&gt;"Up",E456&lt;&gt;"Down")),"",IF(OR(L456="In line",L456="Mixed"),"Neutral data",IF(OR(AND(L456="Hotter",E456="Down"),AND(L456="Cooler",E456="Up")),"With data","Against data")))</f>
        <v/>
      </c>
      <c r="N456" s="28" t="n"/>
      <c r="O456" s="27" t="n"/>
      <c r="P456" s="27" t="n"/>
      <c r="Q456" s="28" t="n"/>
      <c r="R456" s="27" t="n"/>
      <c r="S456" s="29" t="n"/>
      <c r="T456" s="27" t="n"/>
      <c r="U456" s="27" t="n"/>
      <c r="V456" s="26">
        <f>IF(OR(AND(E456&lt;&gt;"Up",E456&lt;&gt;"Down"),NOT(ISNUMBER(S456)),IF(E456="Up",Q456,R456)=""),"",IF(S456&gt;=100,"Back to open",IF(OR(IF(E456="Up",Q456,R456)="1-5 min",IF(E456="Up",Q456,R456)="5-15 min"),"Continued",IF(S456&gt;=50,"Partial retrace","Stalled / chop"))))</f>
        <v/>
      </c>
      <c r="W456" s="26">
        <f>IF(OR(Q456="",R456=""),"",IFERROR(IF(AND(Q456="Not by 16:00",R456="Not by 16:00"),"Neither taken",IF(FIND("|"&amp;Q456&amp;"|","|1-5 min|5-15 min|15-60 min|9:30-11:00|11:00-16:00|Not by 16:00|")=FIND("|"&amp;R456&amp;"|","|1-5 min|5-15 min|15-60 min|9:30-11:00|11:00-16:00|Not by 16:00|"),"Same window",IF(FIND("|"&amp;Q456&amp;"|","|1-5 min|5-15 min|15-60 min|9:30-11:00|11:00-16:00|Not by 16:00|")&lt;FIND("|"&amp;R456&amp;"|","|1-5 min|5-15 min|15-60 min|9:30-11:00|11:00-16:00|Not by 16:00|"),IF(E456="Up","High first (main side)",IF(E456="Down","High first (wick side)","High first")),IF(E456="Down","Low first (main side)",IF(E456="Up","Low first (wick side)","Low first"))))),"Check entries"))</f>
        <v/>
      </c>
      <c r="X456" s="28" t="n"/>
      <c r="Y456" s="27" t="n"/>
      <c r="Z456" s="27" t="n"/>
      <c r="AA456" s="27" t="n"/>
      <c r="AB456" s="27" t="n"/>
      <c r="AC456" s="27" t="n"/>
      <c r="AD456" s="27" t="n"/>
      <c r="AE456" s="28" t="n"/>
      <c r="AF456" s="30" t="n"/>
      <c r="AG456" s="27" t="n"/>
    </row>
    <row r="457">
      <c r="A457" s="25" t="n"/>
      <c r="B457" s="26">
        <f>IF(ISNUMBER(A457),TEXT(A457,"ddd"),"")</f>
        <v/>
      </c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8" t="n"/>
      <c r="M457" s="26">
        <f>IF(OR(L457="",AND(E457&lt;&gt;"Up",E457&lt;&gt;"Down")),"",IF(OR(L457="In line",L457="Mixed"),"Neutral data",IF(OR(AND(L457="Hotter",E457="Down"),AND(L457="Cooler",E457="Up")),"With data","Against data")))</f>
        <v/>
      </c>
      <c r="N457" s="28" t="n"/>
      <c r="O457" s="27" t="n"/>
      <c r="P457" s="27" t="n"/>
      <c r="Q457" s="28" t="n"/>
      <c r="R457" s="27" t="n"/>
      <c r="S457" s="29" t="n"/>
      <c r="T457" s="27" t="n"/>
      <c r="U457" s="27" t="n"/>
      <c r="V457" s="26">
        <f>IF(OR(AND(E457&lt;&gt;"Up",E457&lt;&gt;"Down"),NOT(ISNUMBER(S457)),IF(E457="Up",Q457,R457)=""),"",IF(S457&gt;=100,"Back to open",IF(OR(IF(E457="Up",Q457,R457)="1-5 min",IF(E457="Up",Q457,R457)="5-15 min"),"Continued",IF(S457&gt;=50,"Partial retrace","Stalled / chop"))))</f>
        <v/>
      </c>
      <c r="W457" s="26">
        <f>IF(OR(Q457="",R457=""),"",IFERROR(IF(AND(Q457="Not by 16:00",R457="Not by 16:00"),"Neither taken",IF(FIND("|"&amp;Q457&amp;"|","|1-5 min|5-15 min|15-60 min|9:30-11:00|11:00-16:00|Not by 16:00|")=FIND("|"&amp;R457&amp;"|","|1-5 min|5-15 min|15-60 min|9:30-11:00|11:00-16:00|Not by 16:00|"),"Same window",IF(FIND("|"&amp;Q457&amp;"|","|1-5 min|5-15 min|15-60 min|9:30-11:00|11:00-16:00|Not by 16:00|")&lt;FIND("|"&amp;R457&amp;"|","|1-5 min|5-15 min|15-60 min|9:30-11:00|11:00-16:00|Not by 16:00|"),IF(E457="Up","High first (main side)",IF(E457="Down","High first (wick side)","High first")),IF(E457="Down","Low first (main side)",IF(E457="Up","Low first (wick side)","Low first"))))),"Check entries"))</f>
        <v/>
      </c>
      <c r="X457" s="28" t="n"/>
      <c r="Y457" s="27" t="n"/>
      <c r="Z457" s="27" t="n"/>
      <c r="AA457" s="27" t="n"/>
      <c r="AB457" s="27" t="n"/>
      <c r="AC457" s="27" t="n"/>
      <c r="AD457" s="27" t="n"/>
      <c r="AE457" s="28" t="n"/>
      <c r="AF457" s="30" t="n"/>
      <c r="AG457" s="27" t="n"/>
    </row>
    <row r="458">
      <c r="A458" s="25" t="n"/>
      <c r="B458" s="26">
        <f>IF(ISNUMBER(A458),TEXT(A458,"ddd"),"")</f>
        <v/>
      </c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8" t="n"/>
      <c r="M458" s="26">
        <f>IF(OR(L458="",AND(E458&lt;&gt;"Up",E458&lt;&gt;"Down")),"",IF(OR(L458="In line",L458="Mixed"),"Neutral data",IF(OR(AND(L458="Hotter",E458="Down"),AND(L458="Cooler",E458="Up")),"With data","Against data")))</f>
        <v/>
      </c>
      <c r="N458" s="28" t="n"/>
      <c r="O458" s="27" t="n"/>
      <c r="P458" s="27" t="n"/>
      <c r="Q458" s="28" t="n"/>
      <c r="R458" s="27" t="n"/>
      <c r="S458" s="29" t="n"/>
      <c r="T458" s="27" t="n"/>
      <c r="U458" s="27" t="n"/>
      <c r="V458" s="26">
        <f>IF(OR(AND(E458&lt;&gt;"Up",E458&lt;&gt;"Down"),NOT(ISNUMBER(S458)),IF(E458="Up",Q458,R458)=""),"",IF(S458&gt;=100,"Back to open",IF(OR(IF(E458="Up",Q458,R458)="1-5 min",IF(E458="Up",Q458,R458)="5-15 min"),"Continued",IF(S458&gt;=50,"Partial retrace","Stalled / chop"))))</f>
        <v/>
      </c>
      <c r="W458" s="26">
        <f>IF(OR(Q458="",R458=""),"",IFERROR(IF(AND(Q458="Not by 16:00",R458="Not by 16:00"),"Neither taken",IF(FIND("|"&amp;Q458&amp;"|","|1-5 min|5-15 min|15-60 min|9:30-11:00|11:00-16:00|Not by 16:00|")=FIND("|"&amp;R458&amp;"|","|1-5 min|5-15 min|15-60 min|9:30-11:00|11:00-16:00|Not by 16:00|"),"Same window",IF(FIND("|"&amp;Q458&amp;"|","|1-5 min|5-15 min|15-60 min|9:30-11:00|11:00-16:00|Not by 16:00|")&lt;FIND("|"&amp;R458&amp;"|","|1-5 min|5-15 min|15-60 min|9:30-11:00|11:00-16:00|Not by 16:00|"),IF(E458="Up","High first (main side)",IF(E458="Down","High first (wick side)","High first")),IF(E458="Down","Low first (main side)",IF(E458="Up","Low first (wick side)","Low first"))))),"Check entries"))</f>
        <v/>
      </c>
      <c r="X458" s="28" t="n"/>
      <c r="Y458" s="27" t="n"/>
      <c r="Z458" s="27" t="n"/>
      <c r="AA458" s="27" t="n"/>
      <c r="AB458" s="27" t="n"/>
      <c r="AC458" s="27" t="n"/>
      <c r="AD458" s="27" t="n"/>
      <c r="AE458" s="28" t="n"/>
      <c r="AF458" s="30" t="n"/>
      <c r="AG458" s="27" t="n"/>
    </row>
    <row r="459">
      <c r="A459" s="25" t="n"/>
      <c r="B459" s="26">
        <f>IF(ISNUMBER(A459),TEXT(A459,"ddd"),"")</f>
        <v/>
      </c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8" t="n"/>
      <c r="M459" s="26">
        <f>IF(OR(L459="",AND(E459&lt;&gt;"Up",E459&lt;&gt;"Down")),"",IF(OR(L459="In line",L459="Mixed"),"Neutral data",IF(OR(AND(L459="Hotter",E459="Down"),AND(L459="Cooler",E459="Up")),"With data","Against data")))</f>
        <v/>
      </c>
      <c r="N459" s="28" t="n"/>
      <c r="O459" s="27" t="n"/>
      <c r="P459" s="27" t="n"/>
      <c r="Q459" s="28" t="n"/>
      <c r="R459" s="27" t="n"/>
      <c r="S459" s="29" t="n"/>
      <c r="T459" s="27" t="n"/>
      <c r="U459" s="27" t="n"/>
      <c r="V459" s="26">
        <f>IF(OR(AND(E459&lt;&gt;"Up",E459&lt;&gt;"Down"),NOT(ISNUMBER(S459)),IF(E459="Up",Q459,R459)=""),"",IF(S459&gt;=100,"Back to open",IF(OR(IF(E459="Up",Q459,R459)="1-5 min",IF(E459="Up",Q459,R459)="5-15 min"),"Continued",IF(S459&gt;=50,"Partial retrace","Stalled / chop"))))</f>
        <v/>
      </c>
      <c r="W459" s="26">
        <f>IF(OR(Q459="",R459=""),"",IFERROR(IF(AND(Q459="Not by 16:00",R459="Not by 16:00"),"Neither taken",IF(FIND("|"&amp;Q459&amp;"|","|1-5 min|5-15 min|15-60 min|9:30-11:00|11:00-16:00|Not by 16:00|")=FIND("|"&amp;R459&amp;"|","|1-5 min|5-15 min|15-60 min|9:30-11:00|11:00-16:00|Not by 16:00|"),"Same window",IF(FIND("|"&amp;Q459&amp;"|","|1-5 min|5-15 min|15-60 min|9:30-11:00|11:00-16:00|Not by 16:00|")&lt;FIND("|"&amp;R459&amp;"|","|1-5 min|5-15 min|15-60 min|9:30-11:00|11:00-16:00|Not by 16:00|"),IF(E459="Up","High first (main side)",IF(E459="Down","High first (wick side)","High first")),IF(E459="Down","Low first (main side)",IF(E459="Up","Low first (wick side)","Low first"))))),"Check entries"))</f>
        <v/>
      </c>
      <c r="X459" s="28" t="n"/>
      <c r="Y459" s="27" t="n"/>
      <c r="Z459" s="27" t="n"/>
      <c r="AA459" s="27" t="n"/>
      <c r="AB459" s="27" t="n"/>
      <c r="AC459" s="27" t="n"/>
      <c r="AD459" s="27" t="n"/>
      <c r="AE459" s="28" t="n"/>
      <c r="AF459" s="30" t="n"/>
      <c r="AG459" s="27" t="n"/>
    </row>
    <row r="460">
      <c r="A460" s="25" t="n"/>
      <c r="B460" s="26">
        <f>IF(ISNUMBER(A460),TEXT(A460,"ddd"),"")</f>
        <v/>
      </c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8" t="n"/>
      <c r="M460" s="26">
        <f>IF(OR(L460="",AND(E460&lt;&gt;"Up",E460&lt;&gt;"Down")),"",IF(OR(L460="In line",L460="Mixed"),"Neutral data",IF(OR(AND(L460="Hotter",E460="Down"),AND(L460="Cooler",E460="Up")),"With data","Against data")))</f>
        <v/>
      </c>
      <c r="N460" s="28" t="n"/>
      <c r="O460" s="27" t="n"/>
      <c r="P460" s="27" t="n"/>
      <c r="Q460" s="28" t="n"/>
      <c r="R460" s="27" t="n"/>
      <c r="S460" s="29" t="n"/>
      <c r="T460" s="27" t="n"/>
      <c r="U460" s="27" t="n"/>
      <c r="V460" s="26">
        <f>IF(OR(AND(E460&lt;&gt;"Up",E460&lt;&gt;"Down"),NOT(ISNUMBER(S460)),IF(E460="Up",Q460,R460)=""),"",IF(S460&gt;=100,"Back to open",IF(OR(IF(E460="Up",Q460,R460)="1-5 min",IF(E460="Up",Q460,R460)="5-15 min"),"Continued",IF(S460&gt;=50,"Partial retrace","Stalled / chop"))))</f>
        <v/>
      </c>
      <c r="W460" s="26">
        <f>IF(OR(Q460="",R460=""),"",IFERROR(IF(AND(Q460="Not by 16:00",R460="Not by 16:00"),"Neither taken",IF(FIND("|"&amp;Q460&amp;"|","|1-5 min|5-15 min|15-60 min|9:30-11:00|11:00-16:00|Not by 16:00|")=FIND("|"&amp;R460&amp;"|","|1-5 min|5-15 min|15-60 min|9:30-11:00|11:00-16:00|Not by 16:00|"),"Same window",IF(FIND("|"&amp;Q460&amp;"|","|1-5 min|5-15 min|15-60 min|9:30-11:00|11:00-16:00|Not by 16:00|")&lt;FIND("|"&amp;R460&amp;"|","|1-5 min|5-15 min|15-60 min|9:30-11:00|11:00-16:00|Not by 16:00|"),IF(E460="Up","High first (main side)",IF(E460="Down","High first (wick side)","High first")),IF(E460="Down","Low first (main side)",IF(E460="Up","Low first (wick side)","Low first"))))),"Check entries"))</f>
        <v/>
      </c>
      <c r="X460" s="28" t="n"/>
      <c r="Y460" s="27" t="n"/>
      <c r="Z460" s="27" t="n"/>
      <c r="AA460" s="27" t="n"/>
      <c r="AB460" s="27" t="n"/>
      <c r="AC460" s="27" t="n"/>
      <c r="AD460" s="27" t="n"/>
      <c r="AE460" s="28" t="n"/>
      <c r="AF460" s="30" t="n"/>
      <c r="AG460" s="27" t="n"/>
    </row>
    <row r="461">
      <c r="A461" s="25" t="n"/>
      <c r="B461" s="26">
        <f>IF(ISNUMBER(A461),TEXT(A461,"ddd"),"")</f>
        <v/>
      </c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8" t="n"/>
      <c r="M461" s="26">
        <f>IF(OR(L461="",AND(E461&lt;&gt;"Up",E461&lt;&gt;"Down")),"",IF(OR(L461="In line",L461="Mixed"),"Neutral data",IF(OR(AND(L461="Hotter",E461="Down"),AND(L461="Cooler",E461="Up")),"With data","Against data")))</f>
        <v/>
      </c>
      <c r="N461" s="28" t="n"/>
      <c r="O461" s="27" t="n"/>
      <c r="P461" s="27" t="n"/>
      <c r="Q461" s="28" t="n"/>
      <c r="R461" s="27" t="n"/>
      <c r="S461" s="29" t="n"/>
      <c r="T461" s="27" t="n"/>
      <c r="U461" s="27" t="n"/>
      <c r="V461" s="26">
        <f>IF(OR(AND(E461&lt;&gt;"Up",E461&lt;&gt;"Down"),NOT(ISNUMBER(S461)),IF(E461="Up",Q461,R461)=""),"",IF(S461&gt;=100,"Back to open",IF(OR(IF(E461="Up",Q461,R461)="1-5 min",IF(E461="Up",Q461,R461)="5-15 min"),"Continued",IF(S461&gt;=50,"Partial retrace","Stalled / chop"))))</f>
        <v/>
      </c>
      <c r="W461" s="26">
        <f>IF(OR(Q461="",R461=""),"",IFERROR(IF(AND(Q461="Not by 16:00",R461="Not by 16:00"),"Neither taken",IF(FIND("|"&amp;Q461&amp;"|","|1-5 min|5-15 min|15-60 min|9:30-11:00|11:00-16:00|Not by 16:00|")=FIND("|"&amp;R461&amp;"|","|1-5 min|5-15 min|15-60 min|9:30-11:00|11:00-16:00|Not by 16:00|"),"Same window",IF(FIND("|"&amp;Q461&amp;"|","|1-5 min|5-15 min|15-60 min|9:30-11:00|11:00-16:00|Not by 16:00|")&lt;FIND("|"&amp;R461&amp;"|","|1-5 min|5-15 min|15-60 min|9:30-11:00|11:00-16:00|Not by 16:00|"),IF(E461="Up","High first (main side)",IF(E461="Down","High first (wick side)","High first")),IF(E461="Down","Low first (main side)",IF(E461="Up","Low first (wick side)","Low first"))))),"Check entries"))</f>
        <v/>
      </c>
      <c r="X461" s="28" t="n"/>
      <c r="Y461" s="27" t="n"/>
      <c r="Z461" s="27" t="n"/>
      <c r="AA461" s="27" t="n"/>
      <c r="AB461" s="27" t="n"/>
      <c r="AC461" s="27" t="n"/>
      <c r="AD461" s="27" t="n"/>
      <c r="AE461" s="28" t="n"/>
      <c r="AF461" s="30" t="n"/>
      <c r="AG461" s="27" t="n"/>
    </row>
    <row r="462">
      <c r="A462" s="25" t="n"/>
      <c r="B462" s="26">
        <f>IF(ISNUMBER(A462),TEXT(A462,"ddd"),"")</f>
        <v/>
      </c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8" t="n"/>
      <c r="M462" s="26">
        <f>IF(OR(L462="",AND(E462&lt;&gt;"Up",E462&lt;&gt;"Down")),"",IF(OR(L462="In line",L462="Mixed"),"Neutral data",IF(OR(AND(L462="Hotter",E462="Down"),AND(L462="Cooler",E462="Up")),"With data","Against data")))</f>
        <v/>
      </c>
      <c r="N462" s="28" t="n"/>
      <c r="O462" s="27" t="n"/>
      <c r="P462" s="27" t="n"/>
      <c r="Q462" s="28" t="n"/>
      <c r="R462" s="27" t="n"/>
      <c r="S462" s="29" t="n"/>
      <c r="T462" s="27" t="n"/>
      <c r="U462" s="27" t="n"/>
      <c r="V462" s="26">
        <f>IF(OR(AND(E462&lt;&gt;"Up",E462&lt;&gt;"Down"),NOT(ISNUMBER(S462)),IF(E462="Up",Q462,R462)=""),"",IF(S462&gt;=100,"Back to open",IF(OR(IF(E462="Up",Q462,R462)="1-5 min",IF(E462="Up",Q462,R462)="5-15 min"),"Continued",IF(S462&gt;=50,"Partial retrace","Stalled / chop"))))</f>
        <v/>
      </c>
      <c r="W462" s="26">
        <f>IF(OR(Q462="",R462=""),"",IFERROR(IF(AND(Q462="Not by 16:00",R462="Not by 16:00"),"Neither taken",IF(FIND("|"&amp;Q462&amp;"|","|1-5 min|5-15 min|15-60 min|9:30-11:00|11:00-16:00|Not by 16:00|")=FIND("|"&amp;R462&amp;"|","|1-5 min|5-15 min|15-60 min|9:30-11:00|11:00-16:00|Not by 16:00|"),"Same window",IF(FIND("|"&amp;Q462&amp;"|","|1-5 min|5-15 min|15-60 min|9:30-11:00|11:00-16:00|Not by 16:00|")&lt;FIND("|"&amp;R462&amp;"|","|1-5 min|5-15 min|15-60 min|9:30-11:00|11:00-16:00|Not by 16:00|"),IF(E462="Up","High first (main side)",IF(E462="Down","High first (wick side)","High first")),IF(E462="Down","Low first (main side)",IF(E462="Up","Low first (wick side)","Low first"))))),"Check entries"))</f>
        <v/>
      </c>
      <c r="X462" s="28" t="n"/>
      <c r="Y462" s="27" t="n"/>
      <c r="Z462" s="27" t="n"/>
      <c r="AA462" s="27" t="n"/>
      <c r="AB462" s="27" t="n"/>
      <c r="AC462" s="27" t="n"/>
      <c r="AD462" s="27" t="n"/>
      <c r="AE462" s="28" t="n"/>
      <c r="AF462" s="30" t="n"/>
      <c r="AG462" s="27" t="n"/>
    </row>
    <row r="463">
      <c r="A463" s="25" t="n"/>
      <c r="B463" s="26">
        <f>IF(ISNUMBER(A463),TEXT(A463,"ddd"),"")</f>
        <v/>
      </c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8" t="n"/>
      <c r="M463" s="26">
        <f>IF(OR(L463="",AND(E463&lt;&gt;"Up",E463&lt;&gt;"Down")),"",IF(OR(L463="In line",L463="Mixed"),"Neutral data",IF(OR(AND(L463="Hotter",E463="Down"),AND(L463="Cooler",E463="Up")),"With data","Against data")))</f>
        <v/>
      </c>
      <c r="N463" s="28" t="n"/>
      <c r="O463" s="27" t="n"/>
      <c r="P463" s="27" t="n"/>
      <c r="Q463" s="28" t="n"/>
      <c r="R463" s="27" t="n"/>
      <c r="S463" s="29" t="n"/>
      <c r="T463" s="27" t="n"/>
      <c r="U463" s="27" t="n"/>
      <c r="V463" s="26">
        <f>IF(OR(AND(E463&lt;&gt;"Up",E463&lt;&gt;"Down"),NOT(ISNUMBER(S463)),IF(E463="Up",Q463,R463)=""),"",IF(S463&gt;=100,"Back to open",IF(OR(IF(E463="Up",Q463,R463)="1-5 min",IF(E463="Up",Q463,R463)="5-15 min"),"Continued",IF(S463&gt;=50,"Partial retrace","Stalled / chop"))))</f>
        <v/>
      </c>
      <c r="W463" s="26">
        <f>IF(OR(Q463="",R463=""),"",IFERROR(IF(AND(Q463="Not by 16:00",R463="Not by 16:00"),"Neither taken",IF(FIND("|"&amp;Q463&amp;"|","|1-5 min|5-15 min|15-60 min|9:30-11:00|11:00-16:00|Not by 16:00|")=FIND("|"&amp;R463&amp;"|","|1-5 min|5-15 min|15-60 min|9:30-11:00|11:00-16:00|Not by 16:00|"),"Same window",IF(FIND("|"&amp;Q463&amp;"|","|1-5 min|5-15 min|15-60 min|9:30-11:00|11:00-16:00|Not by 16:00|")&lt;FIND("|"&amp;R463&amp;"|","|1-5 min|5-15 min|15-60 min|9:30-11:00|11:00-16:00|Not by 16:00|"),IF(E463="Up","High first (main side)",IF(E463="Down","High first (wick side)","High first")),IF(E463="Down","Low first (main side)",IF(E463="Up","Low first (wick side)","Low first"))))),"Check entries"))</f>
        <v/>
      </c>
      <c r="X463" s="28" t="n"/>
      <c r="Y463" s="27" t="n"/>
      <c r="Z463" s="27" t="n"/>
      <c r="AA463" s="27" t="n"/>
      <c r="AB463" s="27" t="n"/>
      <c r="AC463" s="27" t="n"/>
      <c r="AD463" s="27" t="n"/>
      <c r="AE463" s="28" t="n"/>
      <c r="AF463" s="30" t="n"/>
      <c r="AG463" s="27" t="n"/>
    </row>
    <row r="464">
      <c r="A464" s="25" t="n"/>
      <c r="B464" s="26">
        <f>IF(ISNUMBER(A464),TEXT(A464,"ddd"),"")</f>
        <v/>
      </c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8" t="n"/>
      <c r="M464" s="26">
        <f>IF(OR(L464="",AND(E464&lt;&gt;"Up",E464&lt;&gt;"Down")),"",IF(OR(L464="In line",L464="Mixed"),"Neutral data",IF(OR(AND(L464="Hotter",E464="Down"),AND(L464="Cooler",E464="Up")),"With data","Against data")))</f>
        <v/>
      </c>
      <c r="N464" s="28" t="n"/>
      <c r="O464" s="27" t="n"/>
      <c r="P464" s="27" t="n"/>
      <c r="Q464" s="28" t="n"/>
      <c r="R464" s="27" t="n"/>
      <c r="S464" s="29" t="n"/>
      <c r="T464" s="27" t="n"/>
      <c r="U464" s="27" t="n"/>
      <c r="V464" s="26">
        <f>IF(OR(AND(E464&lt;&gt;"Up",E464&lt;&gt;"Down"),NOT(ISNUMBER(S464)),IF(E464="Up",Q464,R464)=""),"",IF(S464&gt;=100,"Back to open",IF(OR(IF(E464="Up",Q464,R464)="1-5 min",IF(E464="Up",Q464,R464)="5-15 min"),"Continued",IF(S464&gt;=50,"Partial retrace","Stalled / chop"))))</f>
        <v/>
      </c>
      <c r="W464" s="26">
        <f>IF(OR(Q464="",R464=""),"",IFERROR(IF(AND(Q464="Not by 16:00",R464="Not by 16:00"),"Neither taken",IF(FIND("|"&amp;Q464&amp;"|","|1-5 min|5-15 min|15-60 min|9:30-11:00|11:00-16:00|Not by 16:00|")=FIND("|"&amp;R464&amp;"|","|1-5 min|5-15 min|15-60 min|9:30-11:00|11:00-16:00|Not by 16:00|"),"Same window",IF(FIND("|"&amp;Q464&amp;"|","|1-5 min|5-15 min|15-60 min|9:30-11:00|11:00-16:00|Not by 16:00|")&lt;FIND("|"&amp;R464&amp;"|","|1-5 min|5-15 min|15-60 min|9:30-11:00|11:00-16:00|Not by 16:00|"),IF(E464="Up","High first (main side)",IF(E464="Down","High first (wick side)","High first")),IF(E464="Down","Low first (main side)",IF(E464="Up","Low first (wick side)","Low first"))))),"Check entries"))</f>
        <v/>
      </c>
      <c r="X464" s="28" t="n"/>
      <c r="Y464" s="27" t="n"/>
      <c r="Z464" s="27" t="n"/>
      <c r="AA464" s="27" t="n"/>
      <c r="AB464" s="27" t="n"/>
      <c r="AC464" s="27" t="n"/>
      <c r="AD464" s="27" t="n"/>
      <c r="AE464" s="28" t="n"/>
      <c r="AF464" s="30" t="n"/>
      <c r="AG464" s="27" t="n"/>
    </row>
    <row r="465">
      <c r="A465" s="25" t="n"/>
      <c r="B465" s="26">
        <f>IF(ISNUMBER(A465),TEXT(A465,"ddd"),"")</f>
        <v/>
      </c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8" t="n"/>
      <c r="M465" s="26">
        <f>IF(OR(L465="",AND(E465&lt;&gt;"Up",E465&lt;&gt;"Down")),"",IF(OR(L465="In line",L465="Mixed"),"Neutral data",IF(OR(AND(L465="Hotter",E465="Down"),AND(L465="Cooler",E465="Up")),"With data","Against data")))</f>
        <v/>
      </c>
      <c r="N465" s="28" t="n"/>
      <c r="O465" s="27" t="n"/>
      <c r="P465" s="27" t="n"/>
      <c r="Q465" s="28" t="n"/>
      <c r="R465" s="27" t="n"/>
      <c r="S465" s="29" t="n"/>
      <c r="T465" s="27" t="n"/>
      <c r="U465" s="27" t="n"/>
      <c r="V465" s="26">
        <f>IF(OR(AND(E465&lt;&gt;"Up",E465&lt;&gt;"Down"),NOT(ISNUMBER(S465)),IF(E465="Up",Q465,R465)=""),"",IF(S465&gt;=100,"Back to open",IF(OR(IF(E465="Up",Q465,R465)="1-5 min",IF(E465="Up",Q465,R465)="5-15 min"),"Continued",IF(S465&gt;=50,"Partial retrace","Stalled / chop"))))</f>
        <v/>
      </c>
      <c r="W465" s="26">
        <f>IF(OR(Q465="",R465=""),"",IFERROR(IF(AND(Q465="Not by 16:00",R465="Not by 16:00"),"Neither taken",IF(FIND("|"&amp;Q465&amp;"|","|1-5 min|5-15 min|15-60 min|9:30-11:00|11:00-16:00|Not by 16:00|")=FIND("|"&amp;R465&amp;"|","|1-5 min|5-15 min|15-60 min|9:30-11:00|11:00-16:00|Not by 16:00|"),"Same window",IF(FIND("|"&amp;Q465&amp;"|","|1-5 min|5-15 min|15-60 min|9:30-11:00|11:00-16:00|Not by 16:00|")&lt;FIND("|"&amp;R465&amp;"|","|1-5 min|5-15 min|15-60 min|9:30-11:00|11:00-16:00|Not by 16:00|"),IF(E465="Up","High first (main side)",IF(E465="Down","High first (wick side)","High first")),IF(E465="Down","Low first (main side)",IF(E465="Up","Low first (wick side)","Low first"))))),"Check entries"))</f>
        <v/>
      </c>
      <c r="X465" s="28" t="n"/>
      <c r="Y465" s="27" t="n"/>
      <c r="Z465" s="27" t="n"/>
      <c r="AA465" s="27" t="n"/>
      <c r="AB465" s="27" t="n"/>
      <c r="AC465" s="27" t="n"/>
      <c r="AD465" s="27" t="n"/>
      <c r="AE465" s="28" t="n"/>
      <c r="AF465" s="30" t="n"/>
      <c r="AG465" s="27" t="n"/>
    </row>
    <row r="466">
      <c r="A466" s="25" t="n"/>
      <c r="B466" s="26">
        <f>IF(ISNUMBER(A466),TEXT(A466,"ddd"),"")</f>
        <v/>
      </c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8" t="n"/>
      <c r="M466" s="26">
        <f>IF(OR(L466="",AND(E466&lt;&gt;"Up",E466&lt;&gt;"Down")),"",IF(OR(L466="In line",L466="Mixed"),"Neutral data",IF(OR(AND(L466="Hotter",E466="Down"),AND(L466="Cooler",E466="Up")),"With data","Against data")))</f>
        <v/>
      </c>
      <c r="N466" s="28" t="n"/>
      <c r="O466" s="27" t="n"/>
      <c r="P466" s="27" t="n"/>
      <c r="Q466" s="28" t="n"/>
      <c r="R466" s="27" t="n"/>
      <c r="S466" s="29" t="n"/>
      <c r="T466" s="27" t="n"/>
      <c r="U466" s="27" t="n"/>
      <c r="V466" s="26">
        <f>IF(OR(AND(E466&lt;&gt;"Up",E466&lt;&gt;"Down"),NOT(ISNUMBER(S466)),IF(E466="Up",Q466,R466)=""),"",IF(S466&gt;=100,"Back to open",IF(OR(IF(E466="Up",Q466,R466)="1-5 min",IF(E466="Up",Q466,R466)="5-15 min"),"Continued",IF(S466&gt;=50,"Partial retrace","Stalled / chop"))))</f>
        <v/>
      </c>
      <c r="W466" s="26">
        <f>IF(OR(Q466="",R466=""),"",IFERROR(IF(AND(Q466="Not by 16:00",R466="Not by 16:00"),"Neither taken",IF(FIND("|"&amp;Q466&amp;"|","|1-5 min|5-15 min|15-60 min|9:30-11:00|11:00-16:00|Not by 16:00|")=FIND("|"&amp;R466&amp;"|","|1-5 min|5-15 min|15-60 min|9:30-11:00|11:00-16:00|Not by 16:00|"),"Same window",IF(FIND("|"&amp;Q466&amp;"|","|1-5 min|5-15 min|15-60 min|9:30-11:00|11:00-16:00|Not by 16:00|")&lt;FIND("|"&amp;R466&amp;"|","|1-5 min|5-15 min|15-60 min|9:30-11:00|11:00-16:00|Not by 16:00|"),IF(E466="Up","High first (main side)",IF(E466="Down","High first (wick side)","High first")),IF(E466="Down","Low first (main side)",IF(E466="Up","Low first (wick side)","Low first"))))),"Check entries"))</f>
        <v/>
      </c>
      <c r="X466" s="28" t="n"/>
      <c r="Y466" s="27" t="n"/>
      <c r="Z466" s="27" t="n"/>
      <c r="AA466" s="27" t="n"/>
      <c r="AB466" s="27" t="n"/>
      <c r="AC466" s="27" t="n"/>
      <c r="AD466" s="27" t="n"/>
      <c r="AE466" s="28" t="n"/>
      <c r="AF466" s="30" t="n"/>
      <c r="AG466" s="27" t="n"/>
    </row>
    <row r="467">
      <c r="A467" s="25" t="n"/>
      <c r="B467" s="26">
        <f>IF(ISNUMBER(A467),TEXT(A467,"ddd"),"")</f>
        <v/>
      </c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8" t="n"/>
      <c r="M467" s="26">
        <f>IF(OR(L467="",AND(E467&lt;&gt;"Up",E467&lt;&gt;"Down")),"",IF(OR(L467="In line",L467="Mixed"),"Neutral data",IF(OR(AND(L467="Hotter",E467="Down"),AND(L467="Cooler",E467="Up")),"With data","Against data")))</f>
        <v/>
      </c>
      <c r="N467" s="28" t="n"/>
      <c r="O467" s="27" t="n"/>
      <c r="P467" s="27" t="n"/>
      <c r="Q467" s="28" t="n"/>
      <c r="R467" s="27" t="n"/>
      <c r="S467" s="29" t="n"/>
      <c r="T467" s="27" t="n"/>
      <c r="U467" s="27" t="n"/>
      <c r="V467" s="26">
        <f>IF(OR(AND(E467&lt;&gt;"Up",E467&lt;&gt;"Down"),NOT(ISNUMBER(S467)),IF(E467="Up",Q467,R467)=""),"",IF(S467&gt;=100,"Back to open",IF(OR(IF(E467="Up",Q467,R467)="1-5 min",IF(E467="Up",Q467,R467)="5-15 min"),"Continued",IF(S467&gt;=50,"Partial retrace","Stalled / chop"))))</f>
        <v/>
      </c>
      <c r="W467" s="26">
        <f>IF(OR(Q467="",R467=""),"",IFERROR(IF(AND(Q467="Not by 16:00",R467="Not by 16:00"),"Neither taken",IF(FIND("|"&amp;Q467&amp;"|","|1-5 min|5-15 min|15-60 min|9:30-11:00|11:00-16:00|Not by 16:00|")=FIND("|"&amp;R467&amp;"|","|1-5 min|5-15 min|15-60 min|9:30-11:00|11:00-16:00|Not by 16:00|"),"Same window",IF(FIND("|"&amp;Q467&amp;"|","|1-5 min|5-15 min|15-60 min|9:30-11:00|11:00-16:00|Not by 16:00|")&lt;FIND("|"&amp;R467&amp;"|","|1-5 min|5-15 min|15-60 min|9:30-11:00|11:00-16:00|Not by 16:00|"),IF(E467="Up","High first (main side)",IF(E467="Down","High first (wick side)","High first")),IF(E467="Down","Low first (main side)",IF(E467="Up","Low first (wick side)","Low first"))))),"Check entries"))</f>
        <v/>
      </c>
      <c r="X467" s="28" t="n"/>
      <c r="Y467" s="27" t="n"/>
      <c r="Z467" s="27" t="n"/>
      <c r="AA467" s="27" t="n"/>
      <c r="AB467" s="27" t="n"/>
      <c r="AC467" s="27" t="n"/>
      <c r="AD467" s="27" t="n"/>
      <c r="AE467" s="28" t="n"/>
      <c r="AF467" s="30" t="n"/>
      <c r="AG467" s="27" t="n"/>
    </row>
    <row r="468">
      <c r="A468" s="25" t="n"/>
      <c r="B468" s="26">
        <f>IF(ISNUMBER(A468),TEXT(A468,"ddd"),"")</f>
        <v/>
      </c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8" t="n"/>
      <c r="M468" s="26">
        <f>IF(OR(L468="",AND(E468&lt;&gt;"Up",E468&lt;&gt;"Down")),"",IF(OR(L468="In line",L468="Mixed"),"Neutral data",IF(OR(AND(L468="Hotter",E468="Down"),AND(L468="Cooler",E468="Up")),"With data","Against data")))</f>
        <v/>
      </c>
      <c r="N468" s="28" t="n"/>
      <c r="O468" s="27" t="n"/>
      <c r="P468" s="27" t="n"/>
      <c r="Q468" s="28" t="n"/>
      <c r="R468" s="27" t="n"/>
      <c r="S468" s="29" t="n"/>
      <c r="T468" s="27" t="n"/>
      <c r="U468" s="27" t="n"/>
      <c r="V468" s="26">
        <f>IF(OR(AND(E468&lt;&gt;"Up",E468&lt;&gt;"Down"),NOT(ISNUMBER(S468)),IF(E468="Up",Q468,R468)=""),"",IF(S468&gt;=100,"Back to open",IF(OR(IF(E468="Up",Q468,R468)="1-5 min",IF(E468="Up",Q468,R468)="5-15 min"),"Continued",IF(S468&gt;=50,"Partial retrace","Stalled / chop"))))</f>
        <v/>
      </c>
      <c r="W468" s="26">
        <f>IF(OR(Q468="",R468=""),"",IFERROR(IF(AND(Q468="Not by 16:00",R468="Not by 16:00"),"Neither taken",IF(FIND("|"&amp;Q468&amp;"|","|1-5 min|5-15 min|15-60 min|9:30-11:00|11:00-16:00|Not by 16:00|")=FIND("|"&amp;R468&amp;"|","|1-5 min|5-15 min|15-60 min|9:30-11:00|11:00-16:00|Not by 16:00|"),"Same window",IF(FIND("|"&amp;Q468&amp;"|","|1-5 min|5-15 min|15-60 min|9:30-11:00|11:00-16:00|Not by 16:00|")&lt;FIND("|"&amp;R468&amp;"|","|1-5 min|5-15 min|15-60 min|9:30-11:00|11:00-16:00|Not by 16:00|"),IF(E468="Up","High first (main side)",IF(E468="Down","High first (wick side)","High first")),IF(E468="Down","Low first (main side)",IF(E468="Up","Low first (wick side)","Low first"))))),"Check entries"))</f>
        <v/>
      </c>
      <c r="X468" s="28" t="n"/>
      <c r="Y468" s="27" t="n"/>
      <c r="Z468" s="27" t="n"/>
      <c r="AA468" s="27" t="n"/>
      <c r="AB468" s="27" t="n"/>
      <c r="AC468" s="27" t="n"/>
      <c r="AD468" s="27" t="n"/>
      <c r="AE468" s="28" t="n"/>
      <c r="AF468" s="30" t="n"/>
      <c r="AG468" s="27" t="n"/>
    </row>
    <row r="469">
      <c r="A469" s="25" t="n"/>
      <c r="B469" s="26">
        <f>IF(ISNUMBER(A469),TEXT(A469,"ddd"),"")</f>
        <v/>
      </c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8" t="n"/>
      <c r="M469" s="26">
        <f>IF(OR(L469="",AND(E469&lt;&gt;"Up",E469&lt;&gt;"Down")),"",IF(OR(L469="In line",L469="Mixed"),"Neutral data",IF(OR(AND(L469="Hotter",E469="Down"),AND(L469="Cooler",E469="Up")),"With data","Against data")))</f>
        <v/>
      </c>
      <c r="N469" s="28" t="n"/>
      <c r="O469" s="27" t="n"/>
      <c r="P469" s="27" t="n"/>
      <c r="Q469" s="28" t="n"/>
      <c r="R469" s="27" t="n"/>
      <c r="S469" s="29" t="n"/>
      <c r="T469" s="27" t="n"/>
      <c r="U469" s="27" t="n"/>
      <c r="V469" s="26">
        <f>IF(OR(AND(E469&lt;&gt;"Up",E469&lt;&gt;"Down"),NOT(ISNUMBER(S469)),IF(E469="Up",Q469,R469)=""),"",IF(S469&gt;=100,"Back to open",IF(OR(IF(E469="Up",Q469,R469)="1-5 min",IF(E469="Up",Q469,R469)="5-15 min"),"Continued",IF(S469&gt;=50,"Partial retrace","Stalled / chop"))))</f>
        <v/>
      </c>
      <c r="W469" s="26">
        <f>IF(OR(Q469="",R469=""),"",IFERROR(IF(AND(Q469="Not by 16:00",R469="Not by 16:00"),"Neither taken",IF(FIND("|"&amp;Q469&amp;"|","|1-5 min|5-15 min|15-60 min|9:30-11:00|11:00-16:00|Not by 16:00|")=FIND("|"&amp;R469&amp;"|","|1-5 min|5-15 min|15-60 min|9:30-11:00|11:00-16:00|Not by 16:00|"),"Same window",IF(FIND("|"&amp;Q469&amp;"|","|1-5 min|5-15 min|15-60 min|9:30-11:00|11:00-16:00|Not by 16:00|")&lt;FIND("|"&amp;R469&amp;"|","|1-5 min|5-15 min|15-60 min|9:30-11:00|11:00-16:00|Not by 16:00|"),IF(E469="Up","High first (main side)",IF(E469="Down","High first (wick side)","High first")),IF(E469="Down","Low first (main side)",IF(E469="Up","Low first (wick side)","Low first"))))),"Check entries"))</f>
        <v/>
      </c>
      <c r="X469" s="28" t="n"/>
      <c r="Y469" s="27" t="n"/>
      <c r="Z469" s="27" t="n"/>
      <c r="AA469" s="27" t="n"/>
      <c r="AB469" s="27" t="n"/>
      <c r="AC469" s="27" t="n"/>
      <c r="AD469" s="27" t="n"/>
      <c r="AE469" s="28" t="n"/>
      <c r="AF469" s="30" t="n"/>
      <c r="AG469" s="27" t="n"/>
    </row>
    <row r="470">
      <c r="A470" s="25" t="n"/>
      <c r="B470" s="26">
        <f>IF(ISNUMBER(A470),TEXT(A470,"ddd"),"")</f>
        <v/>
      </c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8" t="n"/>
      <c r="M470" s="26">
        <f>IF(OR(L470="",AND(E470&lt;&gt;"Up",E470&lt;&gt;"Down")),"",IF(OR(L470="In line",L470="Mixed"),"Neutral data",IF(OR(AND(L470="Hotter",E470="Down"),AND(L470="Cooler",E470="Up")),"With data","Against data")))</f>
        <v/>
      </c>
      <c r="N470" s="28" t="n"/>
      <c r="O470" s="27" t="n"/>
      <c r="P470" s="27" t="n"/>
      <c r="Q470" s="28" t="n"/>
      <c r="R470" s="27" t="n"/>
      <c r="S470" s="29" t="n"/>
      <c r="T470" s="27" t="n"/>
      <c r="U470" s="27" t="n"/>
      <c r="V470" s="26">
        <f>IF(OR(AND(E470&lt;&gt;"Up",E470&lt;&gt;"Down"),NOT(ISNUMBER(S470)),IF(E470="Up",Q470,R470)=""),"",IF(S470&gt;=100,"Back to open",IF(OR(IF(E470="Up",Q470,R470)="1-5 min",IF(E470="Up",Q470,R470)="5-15 min"),"Continued",IF(S470&gt;=50,"Partial retrace","Stalled / chop"))))</f>
        <v/>
      </c>
      <c r="W470" s="26">
        <f>IF(OR(Q470="",R470=""),"",IFERROR(IF(AND(Q470="Not by 16:00",R470="Not by 16:00"),"Neither taken",IF(FIND("|"&amp;Q470&amp;"|","|1-5 min|5-15 min|15-60 min|9:30-11:00|11:00-16:00|Not by 16:00|")=FIND("|"&amp;R470&amp;"|","|1-5 min|5-15 min|15-60 min|9:30-11:00|11:00-16:00|Not by 16:00|"),"Same window",IF(FIND("|"&amp;Q470&amp;"|","|1-5 min|5-15 min|15-60 min|9:30-11:00|11:00-16:00|Not by 16:00|")&lt;FIND("|"&amp;R470&amp;"|","|1-5 min|5-15 min|15-60 min|9:30-11:00|11:00-16:00|Not by 16:00|"),IF(E470="Up","High first (main side)",IF(E470="Down","High first (wick side)","High first")),IF(E470="Down","Low first (main side)",IF(E470="Up","Low first (wick side)","Low first"))))),"Check entries"))</f>
        <v/>
      </c>
      <c r="X470" s="28" t="n"/>
      <c r="Y470" s="27" t="n"/>
      <c r="Z470" s="27" t="n"/>
      <c r="AA470" s="27" t="n"/>
      <c r="AB470" s="27" t="n"/>
      <c r="AC470" s="27" t="n"/>
      <c r="AD470" s="27" t="n"/>
      <c r="AE470" s="28" t="n"/>
      <c r="AF470" s="30" t="n"/>
      <c r="AG470" s="27" t="n"/>
    </row>
    <row r="471">
      <c r="A471" s="25" t="n"/>
      <c r="B471" s="26">
        <f>IF(ISNUMBER(A471),TEXT(A471,"ddd"),"")</f>
        <v/>
      </c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8" t="n"/>
      <c r="M471" s="26">
        <f>IF(OR(L471="",AND(E471&lt;&gt;"Up",E471&lt;&gt;"Down")),"",IF(OR(L471="In line",L471="Mixed"),"Neutral data",IF(OR(AND(L471="Hotter",E471="Down"),AND(L471="Cooler",E471="Up")),"With data","Against data")))</f>
        <v/>
      </c>
      <c r="N471" s="28" t="n"/>
      <c r="O471" s="27" t="n"/>
      <c r="P471" s="27" t="n"/>
      <c r="Q471" s="28" t="n"/>
      <c r="R471" s="27" t="n"/>
      <c r="S471" s="29" t="n"/>
      <c r="T471" s="27" t="n"/>
      <c r="U471" s="27" t="n"/>
      <c r="V471" s="26">
        <f>IF(OR(AND(E471&lt;&gt;"Up",E471&lt;&gt;"Down"),NOT(ISNUMBER(S471)),IF(E471="Up",Q471,R471)=""),"",IF(S471&gt;=100,"Back to open",IF(OR(IF(E471="Up",Q471,R471)="1-5 min",IF(E471="Up",Q471,R471)="5-15 min"),"Continued",IF(S471&gt;=50,"Partial retrace","Stalled / chop"))))</f>
        <v/>
      </c>
      <c r="W471" s="26">
        <f>IF(OR(Q471="",R471=""),"",IFERROR(IF(AND(Q471="Not by 16:00",R471="Not by 16:00"),"Neither taken",IF(FIND("|"&amp;Q471&amp;"|","|1-5 min|5-15 min|15-60 min|9:30-11:00|11:00-16:00|Not by 16:00|")=FIND("|"&amp;R471&amp;"|","|1-5 min|5-15 min|15-60 min|9:30-11:00|11:00-16:00|Not by 16:00|"),"Same window",IF(FIND("|"&amp;Q471&amp;"|","|1-5 min|5-15 min|15-60 min|9:30-11:00|11:00-16:00|Not by 16:00|")&lt;FIND("|"&amp;R471&amp;"|","|1-5 min|5-15 min|15-60 min|9:30-11:00|11:00-16:00|Not by 16:00|"),IF(E471="Up","High first (main side)",IF(E471="Down","High first (wick side)","High first")),IF(E471="Down","Low first (main side)",IF(E471="Up","Low first (wick side)","Low first"))))),"Check entries"))</f>
        <v/>
      </c>
      <c r="X471" s="28" t="n"/>
      <c r="Y471" s="27" t="n"/>
      <c r="Z471" s="27" t="n"/>
      <c r="AA471" s="27" t="n"/>
      <c r="AB471" s="27" t="n"/>
      <c r="AC471" s="27" t="n"/>
      <c r="AD471" s="27" t="n"/>
      <c r="AE471" s="28" t="n"/>
      <c r="AF471" s="30" t="n"/>
      <c r="AG471" s="27" t="n"/>
    </row>
    <row r="472">
      <c r="A472" s="25" t="n"/>
      <c r="B472" s="26">
        <f>IF(ISNUMBER(A472),TEXT(A472,"ddd"),"")</f>
        <v/>
      </c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8" t="n"/>
      <c r="M472" s="26">
        <f>IF(OR(L472="",AND(E472&lt;&gt;"Up",E472&lt;&gt;"Down")),"",IF(OR(L472="In line",L472="Mixed"),"Neutral data",IF(OR(AND(L472="Hotter",E472="Down"),AND(L472="Cooler",E472="Up")),"With data","Against data")))</f>
        <v/>
      </c>
      <c r="N472" s="28" t="n"/>
      <c r="O472" s="27" t="n"/>
      <c r="P472" s="27" t="n"/>
      <c r="Q472" s="28" t="n"/>
      <c r="R472" s="27" t="n"/>
      <c r="S472" s="29" t="n"/>
      <c r="T472" s="27" t="n"/>
      <c r="U472" s="27" t="n"/>
      <c r="V472" s="26">
        <f>IF(OR(AND(E472&lt;&gt;"Up",E472&lt;&gt;"Down"),NOT(ISNUMBER(S472)),IF(E472="Up",Q472,R472)=""),"",IF(S472&gt;=100,"Back to open",IF(OR(IF(E472="Up",Q472,R472)="1-5 min",IF(E472="Up",Q472,R472)="5-15 min"),"Continued",IF(S472&gt;=50,"Partial retrace","Stalled / chop"))))</f>
        <v/>
      </c>
      <c r="W472" s="26">
        <f>IF(OR(Q472="",R472=""),"",IFERROR(IF(AND(Q472="Not by 16:00",R472="Not by 16:00"),"Neither taken",IF(FIND("|"&amp;Q472&amp;"|","|1-5 min|5-15 min|15-60 min|9:30-11:00|11:00-16:00|Not by 16:00|")=FIND("|"&amp;R472&amp;"|","|1-5 min|5-15 min|15-60 min|9:30-11:00|11:00-16:00|Not by 16:00|"),"Same window",IF(FIND("|"&amp;Q472&amp;"|","|1-5 min|5-15 min|15-60 min|9:30-11:00|11:00-16:00|Not by 16:00|")&lt;FIND("|"&amp;R472&amp;"|","|1-5 min|5-15 min|15-60 min|9:30-11:00|11:00-16:00|Not by 16:00|"),IF(E472="Up","High first (main side)",IF(E472="Down","High first (wick side)","High first")),IF(E472="Down","Low first (main side)",IF(E472="Up","Low first (wick side)","Low first"))))),"Check entries"))</f>
        <v/>
      </c>
      <c r="X472" s="28" t="n"/>
      <c r="Y472" s="27" t="n"/>
      <c r="Z472" s="27" t="n"/>
      <c r="AA472" s="27" t="n"/>
      <c r="AB472" s="27" t="n"/>
      <c r="AC472" s="27" t="n"/>
      <c r="AD472" s="27" t="n"/>
      <c r="AE472" s="28" t="n"/>
      <c r="AF472" s="30" t="n"/>
      <c r="AG472" s="27" t="n"/>
    </row>
    <row r="473">
      <c r="A473" s="25" t="n"/>
      <c r="B473" s="26">
        <f>IF(ISNUMBER(A473),TEXT(A473,"ddd"),"")</f>
        <v/>
      </c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8" t="n"/>
      <c r="M473" s="26">
        <f>IF(OR(L473="",AND(E473&lt;&gt;"Up",E473&lt;&gt;"Down")),"",IF(OR(L473="In line",L473="Mixed"),"Neutral data",IF(OR(AND(L473="Hotter",E473="Down"),AND(L473="Cooler",E473="Up")),"With data","Against data")))</f>
        <v/>
      </c>
      <c r="N473" s="28" t="n"/>
      <c r="O473" s="27" t="n"/>
      <c r="P473" s="27" t="n"/>
      <c r="Q473" s="28" t="n"/>
      <c r="R473" s="27" t="n"/>
      <c r="S473" s="29" t="n"/>
      <c r="T473" s="27" t="n"/>
      <c r="U473" s="27" t="n"/>
      <c r="V473" s="26">
        <f>IF(OR(AND(E473&lt;&gt;"Up",E473&lt;&gt;"Down"),NOT(ISNUMBER(S473)),IF(E473="Up",Q473,R473)=""),"",IF(S473&gt;=100,"Back to open",IF(OR(IF(E473="Up",Q473,R473)="1-5 min",IF(E473="Up",Q473,R473)="5-15 min"),"Continued",IF(S473&gt;=50,"Partial retrace","Stalled / chop"))))</f>
        <v/>
      </c>
      <c r="W473" s="26">
        <f>IF(OR(Q473="",R473=""),"",IFERROR(IF(AND(Q473="Not by 16:00",R473="Not by 16:00"),"Neither taken",IF(FIND("|"&amp;Q473&amp;"|","|1-5 min|5-15 min|15-60 min|9:30-11:00|11:00-16:00|Not by 16:00|")=FIND("|"&amp;R473&amp;"|","|1-5 min|5-15 min|15-60 min|9:30-11:00|11:00-16:00|Not by 16:00|"),"Same window",IF(FIND("|"&amp;Q473&amp;"|","|1-5 min|5-15 min|15-60 min|9:30-11:00|11:00-16:00|Not by 16:00|")&lt;FIND("|"&amp;R473&amp;"|","|1-5 min|5-15 min|15-60 min|9:30-11:00|11:00-16:00|Not by 16:00|"),IF(E473="Up","High first (main side)",IF(E473="Down","High first (wick side)","High first")),IF(E473="Down","Low first (main side)",IF(E473="Up","Low first (wick side)","Low first"))))),"Check entries"))</f>
        <v/>
      </c>
      <c r="X473" s="28" t="n"/>
      <c r="Y473" s="27" t="n"/>
      <c r="Z473" s="27" t="n"/>
      <c r="AA473" s="27" t="n"/>
      <c r="AB473" s="27" t="n"/>
      <c r="AC473" s="27" t="n"/>
      <c r="AD473" s="27" t="n"/>
      <c r="AE473" s="28" t="n"/>
      <c r="AF473" s="30" t="n"/>
      <c r="AG473" s="27" t="n"/>
    </row>
    <row r="474">
      <c r="A474" s="25" t="n"/>
      <c r="B474" s="26">
        <f>IF(ISNUMBER(A474),TEXT(A474,"ddd"),"")</f>
        <v/>
      </c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8" t="n"/>
      <c r="M474" s="26">
        <f>IF(OR(L474="",AND(E474&lt;&gt;"Up",E474&lt;&gt;"Down")),"",IF(OR(L474="In line",L474="Mixed"),"Neutral data",IF(OR(AND(L474="Hotter",E474="Down"),AND(L474="Cooler",E474="Up")),"With data","Against data")))</f>
        <v/>
      </c>
      <c r="N474" s="28" t="n"/>
      <c r="O474" s="27" t="n"/>
      <c r="P474" s="27" t="n"/>
      <c r="Q474" s="28" t="n"/>
      <c r="R474" s="27" t="n"/>
      <c r="S474" s="29" t="n"/>
      <c r="T474" s="27" t="n"/>
      <c r="U474" s="27" t="n"/>
      <c r="V474" s="26">
        <f>IF(OR(AND(E474&lt;&gt;"Up",E474&lt;&gt;"Down"),NOT(ISNUMBER(S474)),IF(E474="Up",Q474,R474)=""),"",IF(S474&gt;=100,"Back to open",IF(OR(IF(E474="Up",Q474,R474)="1-5 min",IF(E474="Up",Q474,R474)="5-15 min"),"Continued",IF(S474&gt;=50,"Partial retrace","Stalled / chop"))))</f>
        <v/>
      </c>
      <c r="W474" s="26">
        <f>IF(OR(Q474="",R474=""),"",IFERROR(IF(AND(Q474="Not by 16:00",R474="Not by 16:00"),"Neither taken",IF(FIND("|"&amp;Q474&amp;"|","|1-5 min|5-15 min|15-60 min|9:30-11:00|11:00-16:00|Not by 16:00|")=FIND("|"&amp;R474&amp;"|","|1-5 min|5-15 min|15-60 min|9:30-11:00|11:00-16:00|Not by 16:00|"),"Same window",IF(FIND("|"&amp;Q474&amp;"|","|1-5 min|5-15 min|15-60 min|9:30-11:00|11:00-16:00|Not by 16:00|")&lt;FIND("|"&amp;R474&amp;"|","|1-5 min|5-15 min|15-60 min|9:30-11:00|11:00-16:00|Not by 16:00|"),IF(E474="Up","High first (main side)",IF(E474="Down","High first (wick side)","High first")),IF(E474="Down","Low first (main side)",IF(E474="Up","Low first (wick side)","Low first"))))),"Check entries"))</f>
        <v/>
      </c>
      <c r="X474" s="28" t="n"/>
      <c r="Y474" s="27" t="n"/>
      <c r="Z474" s="27" t="n"/>
      <c r="AA474" s="27" t="n"/>
      <c r="AB474" s="27" t="n"/>
      <c r="AC474" s="27" t="n"/>
      <c r="AD474" s="27" t="n"/>
      <c r="AE474" s="28" t="n"/>
      <c r="AF474" s="30" t="n"/>
      <c r="AG474" s="27" t="n"/>
    </row>
    <row r="475">
      <c r="A475" s="25" t="n"/>
      <c r="B475" s="26">
        <f>IF(ISNUMBER(A475),TEXT(A475,"ddd"),"")</f>
        <v/>
      </c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8" t="n"/>
      <c r="M475" s="26">
        <f>IF(OR(L475="",AND(E475&lt;&gt;"Up",E475&lt;&gt;"Down")),"",IF(OR(L475="In line",L475="Mixed"),"Neutral data",IF(OR(AND(L475="Hotter",E475="Down"),AND(L475="Cooler",E475="Up")),"With data","Against data")))</f>
        <v/>
      </c>
      <c r="N475" s="28" t="n"/>
      <c r="O475" s="27" t="n"/>
      <c r="P475" s="27" t="n"/>
      <c r="Q475" s="28" t="n"/>
      <c r="R475" s="27" t="n"/>
      <c r="S475" s="29" t="n"/>
      <c r="T475" s="27" t="n"/>
      <c r="U475" s="27" t="n"/>
      <c r="V475" s="26">
        <f>IF(OR(AND(E475&lt;&gt;"Up",E475&lt;&gt;"Down"),NOT(ISNUMBER(S475)),IF(E475="Up",Q475,R475)=""),"",IF(S475&gt;=100,"Back to open",IF(OR(IF(E475="Up",Q475,R475)="1-5 min",IF(E475="Up",Q475,R475)="5-15 min"),"Continued",IF(S475&gt;=50,"Partial retrace","Stalled / chop"))))</f>
        <v/>
      </c>
      <c r="W475" s="26">
        <f>IF(OR(Q475="",R475=""),"",IFERROR(IF(AND(Q475="Not by 16:00",R475="Not by 16:00"),"Neither taken",IF(FIND("|"&amp;Q475&amp;"|","|1-5 min|5-15 min|15-60 min|9:30-11:00|11:00-16:00|Not by 16:00|")=FIND("|"&amp;R475&amp;"|","|1-5 min|5-15 min|15-60 min|9:30-11:00|11:00-16:00|Not by 16:00|"),"Same window",IF(FIND("|"&amp;Q475&amp;"|","|1-5 min|5-15 min|15-60 min|9:30-11:00|11:00-16:00|Not by 16:00|")&lt;FIND("|"&amp;R475&amp;"|","|1-5 min|5-15 min|15-60 min|9:30-11:00|11:00-16:00|Not by 16:00|"),IF(E475="Up","High first (main side)",IF(E475="Down","High first (wick side)","High first")),IF(E475="Down","Low first (main side)",IF(E475="Up","Low first (wick side)","Low first"))))),"Check entries"))</f>
        <v/>
      </c>
      <c r="X475" s="28" t="n"/>
      <c r="Y475" s="27" t="n"/>
      <c r="Z475" s="27" t="n"/>
      <c r="AA475" s="27" t="n"/>
      <c r="AB475" s="27" t="n"/>
      <c r="AC475" s="27" t="n"/>
      <c r="AD475" s="27" t="n"/>
      <c r="AE475" s="28" t="n"/>
      <c r="AF475" s="30" t="n"/>
      <c r="AG475" s="27" t="n"/>
    </row>
    <row r="476">
      <c r="A476" s="25" t="n"/>
      <c r="B476" s="26">
        <f>IF(ISNUMBER(A476),TEXT(A476,"ddd"),"")</f>
        <v/>
      </c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8" t="n"/>
      <c r="M476" s="26">
        <f>IF(OR(L476="",AND(E476&lt;&gt;"Up",E476&lt;&gt;"Down")),"",IF(OR(L476="In line",L476="Mixed"),"Neutral data",IF(OR(AND(L476="Hotter",E476="Down"),AND(L476="Cooler",E476="Up")),"With data","Against data")))</f>
        <v/>
      </c>
      <c r="N476" s="28" t="n"/>
      <c r="O476" s="27" t="n"/>
      <c r="P476" s="27" t="n"/>
      <c r="Q476" s="28" t="n"/>
      <c r="R476" s="27" t="n"/>
      <c r="S476" s="29" t="n"/>
      <c r="T476" s="27" t="n"/>
      <c r="U476" s="27" t="n"/>
      <c r="V476" s="26">
        <f>IF(OR(AND(E476&lt;&gt;"Up",E476&lt;&gt;"Down"),NOT(ISNUMBER(S476)),IF(E476="Up",Q476,R476)=""),"",IF(S476&gt;=100,"Back to open",IF(OR(IF(E476="Up",Q476,R476)="1-5 min",IF(E476="Up",Q476,R476)="5-15 min"),"Continued",IF(S476&gt;=50,"Partial retrace","Stalled / chop"))))</f>
        <v/>
      </c>
      <c r="W476" s="26">
        <f>IF(OR(Q476="",R476=""),"",IFERROR(IF(AND(Q476="Not by 16:00",R476="Not by 16:00"),"Neither taken",IF(FIND("|"&amp;Q476&amp;"|","|1-5 min|5-15 min|15-60 min|9:30-11:00|11:00-16:00|Not by 16:00|")=FIND("|"&amp;R476&amp;"|","|1-5 min|5-15 min|15-60 min|9:30-11:00|11:00-16:00|Not by 16:00|"),"Same window",IF(FIND("|"&amp;Q476&amp;"|","|1-5 min|5-15 min|15-60 min|9:30-11:00|11:00-16:00|Not by 16:00|")&lt;FIND("|"&amp;R476&amp;"|","|1-5 min|5-15 min|15-60 min|9:30-11:00|11:00-16:00|Not by 16:00|"),IF(E476="Up","High first (main side)",IF(E476="Down","High first (wick side)","High first")),IF(E476="Down","Low first (main side)",IF(E476="Up","Low first (wick side)","Low first"))))),"Check entries"))</f>
        <v/>
      </c>
      <c r="X476" s="28" t="n"/>
      <c r="Y476" s="27" t="n"/>
      <c r="Z476" s="27" t="n"/>
      <c r="AA476" s="27" t="n"/>
      <c r="AB476" s="27" t="n"/>
      <c r="AC476" s="27" t="n"/>
      <c r="AD476" s="27" t="n"/>
      <c r="AE476" s="28" t="n"/>
      <c r="AF476" s="30" t="n"/>
      <c r="AG476" s="27" t="n"/>
    </row>
    <row r="477">
      <c r="A477" s="25" t="n"/>
      <c r="B477" s="26">
        <f>IF(ISNUMBER(A477),TEXT(A477,"ddd"),"")</f>
        <v/>
      </c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8" t="n"/>
      <c r="M477" s="26">
        <f>IF(OR(L477="",AND(E477&lt;&gt;"Up",E477&lt;&gt;"Down")),"",IF(OR(L477="In line",L477="Mixed"),"Neutral data",IF(OR(AND(L477="Hotter",E477="Down"),AND(L477="Cooler",E477="Up")),"With data","Against data")))</f>
        <v/>
      </c>
      <c r="N477" s="28" t="n"/>
      <c r="O477" s="27" t="n"/>
      <c r="P477" s="27" t="n"/>
      <c r="Q477" s="28" t="n"/>
      <c r="R477" s="27" t="n"/>
      <c r="S477" s="29" t="n"/>
      <c r="T477" s="27" t="n"/>
      <c r="U477" s="27" t="n"/>
      <c r="V477" s="26">
        <f>IF(OR(AND(E477&lt;&gt;"Up",E477&lt;&gt;"Down"),NOT(ISNUMBER(S477)),IF(E477="Up",Q477,R477)=""),"",IF(S477&gt;=100,"Back to open",IF(OR(IF(E477="Up",Q477,R477)="1-5 min",IF(E477="Up",Q477,R477)="5-15 min"),"Continued",IF(S477&gt;=50,"Partial retrace","Stalled / chop"))))</f>
        <v/>
      </c>
      <c r="W477" s="26">
        <f>IF(OR(Q477="",R477=""),"",IFERROR(IF(AND(Q477="Not by 16:00",R477="Not by 16:00"),"Neither taken",IF(FIND("|"&amp;Q477&amp;"|","|1-5 min|5-15 min|15-60 min|9:30-11:00|11:00-16:00|Not by 16:00|")=FIND("|"&amp;R477&amp;"|","|1-5 min|5-15 min|15-60 min|9:30-11:00|11:00-16:00|Not by 16:00|"),"Same window",IF(FIND("|"&amp;Q477&amp;"|","|1-5 min|5-15 min|15-60 min|9:30-11:00|11:00-16:00|Not by 16:00|")&lt;FIND("|"&amp;R477&amp;"|","|1-5 min|5-15 min|15-60 min|9:30-11:00|11:00-16:00|Not by 16:00|"),IF(E477="Up","High first (main side)",IF(E477="Down","High first (wick side)","High first")),IF(E477="Down","Low first (main side)",IF(E477="Up","Low first (wick side)","Low first"))))),"Check entries"))</f>
        <v/>
      </c>
      <c r="X477" s="28" t="n"/>
      <c r="Y477" s="27" t="n"/>
      <c r="Z477" s="27" t="n"/>
      <c r="AA477" s="27" t="n"/>
      <c r="AB477" s="27" t="n"/>
      <c r="AC477" s="27" t="n"/>
      <c r="AD477" s="27" t="n"/>
      <c r="AE477" s="28" t="n"/>
      <c r="AF477" s="30" t="n"/>
      <c r="AG477" s="27" t="n"/>
    </row>
    <row r="478">
      <c r="A478" s="25" t="n"/>
      <c r="B478" s="26">
        <f>IF(ISNUMBER(A478),TEXT(A478,"ddd"),"")</f>
        <v/>
      </c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8" t="n"/>
      <c r="M478" s="26">
        <f>IF(OR(L478="",AND(E478&lt;&gt;"Up",E478&lt;&gt;"Down")),"",IF(OR(L478="In line",L478="Mixed"),"Neutral data",IF(OR(AND(L478="Hotter",E478="Down"),AND(L478="Cooler",E478="Up")),"With data","Against data")))</f>
        <v/>
      </c>
      <c r="N478" s="28" t="n"/>
      <c r="O478" s="27" t="n"/>
      <c r="P478" s="27" t="n"/>
      <c r="Q478" s="28" t="n"/>
      <c r="R478" s="27" t="n"/>
      <c r="S478" s="29" t="n"/>
      <c r="T478" s="27" t="n"/>
      <c r="U478" s="27" t="n"/>
      <c r="V478" s="26">
        <f>IF(OR(AND(E478&lt;&gt;"Up",E478&lt;&gt;"Down"),NOT(ISNUMBER(S478)),IF(E478="Up",Q478,R478)=""),"",IF(S478&gt;=100,"Back to open",IF(OR(IF(E478="Up",Q478,R478)="1-5 min",IF(E478="Up",Q478,R478)="5-15 min"),"Continued",IF(S478&gt;=50,"Partial retrace","Stalled / chop"))))</f>
        <v/>
      </c>
      <c r="W478" s="26">
        <f>IF(OR(Q478="",R478=""),"",IFERROR(IF(AND(Q478="Not by 16:00",R478="Not by 16:00"),"Neither taken",IF(FIND("|"&amp;Q478&amp;"|","|1-5 min|5-15 min|15-60 min|9:30-11:00|11:00-16:00|Not by 16:00|")=FIND("|"&amp;R478&amp;"|","|1-5 min|5-15 min|15-60 min|9:30-11:00|11:00-16:00|Not by 16:00|"),"Same window",IF(FIND("|"&amp;Q478&amp;"|","|1-5 min|5-15 min|15-60 min|9:30-11:00|11:00-16:00|Not by 16:00|")&lt;FIND("|"&amp;R478&amp;"|","|1-5 min|5-15 min|15-60 min|9:30-11:00|11:00-16:00|Not by 16:00|"),IF(E478="Up","High first (main side)",IF(E478="Down","High first (wick side)","High first")),IF(E478="Down","Low first (main side)",IF(E478="Up","Low first (wick side)","Low first"))))),"Check entries"))</f>
        <v/>
      </c>
      <c r="X478" s="28" t="n"/>
      <c r="Y478" s="27" t="n"/>
      <c r="Z478" s="27" t="n"/>
      <c r="AA478" s="27" t="n"/>
      <c r="AB478" s="27" t="n"/>
      <c r="AC478" s="27" t="n"/>
      <c r="AD478" s="27" t="n"/>
      <c r="AE478" s="28" t="n"/>
      <c r="AF478" s="30" t="n"/>
      <c r="AG478" s="27" t="n"/>
    </row>
    <row r="479">
      <c r="A479" s="25" t="n"/>
      <c r="B479" s="26">
        <f>IF(ISNUMBER(A479),TEXT(A479,"ddd"),"")</f>
        <v/>
      </c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8" t="n"/>
      <c r="M479" s="26">
        <f>IF(OR(L479="",AND(E479&lt;&gt;"Up",E479&lt;&gt;"Down")),"",IF(OR(L479="In line",L479="Mixed"),"Neutral data",IF(OR(AND(L479="Hotter",E479="Down"),AND(L479="Cooler",E479="Up")),"With data","Against data")))</f>
        <v/>
      </c>
      <c r="N479" s="28" t="n"/>
      <c r="O479" s="27" t="n"/>
      <c r="P479" s="27" t="n"/>
      <c r="Q479" s="28" t="n"/>
      <c r="R479" s="27" t="n"/>
      <c r="S479" s="29" t="n"/>
      <c r="T479" s="27" t="n"/>
      <c r="U479" s="27" t="n"/>
      <c r="V479" s="26">
        <f>IF(OR(AND(E479&lt;&gt;"Up",E479&lt;&gt;"Down"),NOT(ISNUMBER(S479)),IF(E479="Up",Q479,R479)=""),"",IF(S479&gt;=100,"Back to open",IF(OR(IF(E479="Up",Q479,R479)="1-5 min",IF(E479="Up",Q479,R479)="5-15 min"),"Continued",IF(S479&gt;=50,"Partial retrace","Stalled / chop"))))</f>
        <v/>
      </c>
      <c r="W479" s="26">
        <f>IF(OR(Q479="",R479=""),"",IFERROR(IF(AND(Q479="Not by 16:00",R479="Not by 16:00"),"Neither taken",IF(FIND("|"&amp;Q479&amp;"|","|1-5 min|5-15 min|15-60 min|9:30-11:00|11:00-16:00|Not by 16:00|")=FIND("|"&amp;R479&amp;"|","|1-5 min|5-15 min|15-60 min|9:30-11:00|11:00-16:00|Not by 16:00|"),"Same window",IF(FIND("|"&amp;Q479&amp;"|","|1-5 min|5-15 min|15-60 min|9:30-11:00|11:00-16:00|Not by 16:00|")&lt;FIND("|"&amp;R479&amp;"|","|1-5 min|5-15 min|15-60 min|9:30-11:00|11:00-16:00|Not by 16:00|"),IF(E479="Up","High first (main side)",IF(E479="Down","High first (wick side)","High first")),IF(E479="Down","Low first (main side)",IF(E479="Up","Low first (wick side)","Low first"))))),"Check entries"))</f>
        <v/>
      </c>
      <c r="X479" s="28" t="n"/>
      <c r="Y479" s="27" t="n"/>
      <c r="Z479" s="27" t="n"/>
      <c r="AA479" s="27" t="n"/>
      <c r="AB479" s="27" t="n"/>
      <c r="AC479" s="27" t="n"/>
      <c r="AD479" s="27" t="n"/>
      <c r="AE479" s="28" t="n"/>
      <c r="AF479" s="30" t="n"/>
      <c r="AG479" s="27" t="n"/>
    </row>
    <row r="480">
      <c r="A480" s="25" t="n"/>
      <c r="B480" s="26">
        <f>IF(ISNUMBER(A480),TEXT(A480,"ddd"),"")</f>
        <v/>
      </c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8" t="n"/>
      <c r="M480" s="26">
        <f>IF(OR(L480="",AND(E480&lt;&gt;"Up",E480&lt;&gt;"Down")),"",IF(OR(L480="In line",L480="Mixed"),"Neutral data",IF(OR(AND(L480="Hotter",E480="Down"),AND(L480="Cooler",E480="Up")),"With data","Against data")))</f>
        <v/>
      </c>
      <c r="N480" s="28" t="n"/>
      <c r="O480" s="27" t="n"/>
      <c r="P480" s="27" t="n"/>
      <c r="Q480" s="28" t="n"/>
      <c r="R480" s="27" t="n"/>
      <c r="S480" s="29" t="n"/>
      <c r="T480" s="27" t="n"/>
      <c r="U480" s="27" t="n"/>
      <c r="V480" s="26">
        <f>IF(OR(AND(E480&lt;&gt;"Up",E480&lt;&gt;"Down"),NOT(ISNUMBER(S480)),IF(E480="Up",Q480,R480)=""),"",IF(S480&gt;=100,"Back to open",IF(OR(IF(E480="Up",Q480,R480)="1-5 min",IF(E480="Up",Q480,R480)="5-15 min"),"Continued",IF(S480&gt;=50,"Partial retrace","Stalled / chop"))))</f>
        <v/>
      </c>
      <c r="W480" s="26">
        <f>IF(OR(Q480="",R480=""),"",IFERROR(IF(AND(Q480="Not by 16:00",R480="Not by 16:00"),"Neither taken",IF(FIND("|"&amp;Q480&amp;"|","|1-5 min|5-15 min|15-60 min|9:30-11:00|11:00-16:00|Not by 16:00|")=FIND("|"&amp;R480&amp;"|","|1-5 min|5-15 min|15-60 min|9:30-11:00|11:00-16:00|Not by 16:00|"),"Same window",IF(FIND("|"&amp;Q480&amp;"|","|1-5 min|5-15 min|15-60 min|9:30-11:00|11:00-16:00|Not by 16:00|")&lt;FIND("|"&amp;R480&amp;"|","|1-5 min|5-15 min|15-60 min|9:30-11:00|11:00-16:00|Not by 16:00|"),IF(E480="Up","High first (main side)",IF(E480="Down","High first (wick side)","High first")),IF(E480="Down","Low first (main side)",IF(E480="Up","Low first (wick side)","Low first"))))),"Check entries"))</f>
        <v/>
      </c>
      <c r="X480" s="28" t="n"/>
      <c r="Y480" s="27" t="n"/>
      <c r="Z480" s="27" t="n"/>
      <c r="AA480" s="27" t="n"/>
      <c r="AB480" s="27" t="n"/>
      <c r="AC480" s="27" t="n"/>
      <c r="AD480" s="27" t="n"/>
      <c r="AE480" s="28" t="n"/>
      <c r="AF480" s="30" t="n"/>
      <c r="AG480" s="27" t="n"/>
    </row>
    <row r="481">
      <c r="A481" s="25" t="n"/>
      <c r="B481" s="26">
        <f>IF(ISNUMBER(A481),TEXT(A481,"ddd"),"")</f>
        <v/>
      </c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8" t="n"/>
      <c r="M481" s="26">
        <f>IF(OR(L481="",AND(E481&lt;&gt;"Up",E481&lt;&gt;"Down")),"",IF(OR(L481="In line",L481="Mixed"),"Neutral data",IF(OR(AND(L481="Hotter",E481="Down"),AND(L481="Cooler",E481="Up")),"With data","Against data")))</f>
        <v/>
      </c>
      <c r="N481" s="28" t="n"/>
      <c r="O481" s="27" t="n"/>
      <c r="P481" s="27" t="n"/>
      <c r="Q481" s="28" t="n"/>
      <c r="R481" s="27" t="n"/>
      <c r="S481" s="29" t="n"/>
      <c r="T481" s="27" t="n"/>
      <c r="U481" s="27" t="n"/>
      <c r="V481" s="26">
        <f>IF(OR(AND(E481&lt;&gt;"Up",E481&lt;&gt;"Down"),NOT(ISNUMBER(S481)),IF(E481="Up",Q481,R481)=""),"",IF(S481&gt;=100,"Back to open",IF(OR(IF(E481="Up",Q481,R481)="1-5 min",IF(E481="Up",Q481,R481)="5-15 min"),"Continued",IF(S481&gt;=50,"Partial retrace","Stalled / chop"))))</f>
        <v/>
      </c>
      <c r="W481" s="26">
        <f>IF(OR(Q481="",R481=""),"",IFERROR(IF(AND(Q481="Not by 16:00",R481="Not by 16:00"),"Neither taken",IF(FIND("|"&amp;Q481&amp;"|","|1-5 min|5-15 min|15-60 min|9:30-11:00|11:00-16:00|Not by 16:00|")=FIND("|"&amp;R481&amp;"|","|1-5 min|5-15 min|15-60 min|9:30-11:00|11:00-16:00|Not by 16:00|"),"Same window",IF(FIND("|"&amp;Q481&amp;"|","|1-5 min|5-15 min|15-60 min|9:30-11:00|11:00-16:00|Not by 16:00|")&lt;FIND("|"&amp;R481&amp;"|","|1-5 min|5-15 min|15-60 min|9:30-11:00|11:00-16:00|Not by 16:00|"),IF(E481="Up","High first (main side)",IF(E481="Down","High first (wick side)","High first")),IF(E481="Down","Low first (main side)",IF(E481="Up","Low first (wick side)","Low first"))))),"Check entries"))</f>
        <v/>
      </c>
      <c r="X481" s="28" t="n"/>
      <c r="Y481" s="27" t="n"/>
      <c r="Z481" s="27" t="n"/>
      <c r="AA481" s="27" t="n"/>
      <c r="AB481" s="27" t="n"/>
      <c r="AC481" s="27" t="n"/>
      <c r="AD481" s="27" t="n"/>
      <c r="AE481" s="28" t="n"/>
      <c r="AF481" s="30" t="n"/>
      <c r="AG481" s="27" t="n"/>
    </row>
    <row r="482">
      <c r="A482" s="25" t="n"/>
      <c r="B482" s="26">
        <f>IF(ISNUMBER(A482),TEXT(A482,"ddd"),"")</f>
        <v/>
      </c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8" t="n"/>
      <c r="M482" s="26">
        <f>IF(OR(L482="",AND(E482&lt;&gt;"Up",E482&lt;&gt;"Down")),"",IF(OR(L482="In line",L482="Mixed"),"Neutral data",IF(OR(AND(L482="Hotter",E482="Down"),AND(L482="Cooler",E482="Up")),"With data","Against data")))</f>
        <v/>
      </c>
      <c r="N482" s="28" t="n"/>
      <c r="O482" s="27" t="n"/>
      <c r="P482" s="27" t="n"/>
      <c r="Q482" s="28" t="n"/>
      <c r="R482" s="27" t="n"/>
      <c r="S482" s="29" t="n"/>
      <c r="T482" s="27" t="n"/>
      <c r="U482" s="27" t="n"/>
      <c r="V482" s="26">
        <f>IF(OR(AND(E482&lt;&gt;"Up",E482&lt;&gt;"Down"),NOT(ISNUMBER(S482)),IF(E482="Up",Q482,R482)=""),"",IF(S482&gt;=100,"Back to open",IF(OR(IF(E482="Up",Q482,R482)="1-5 min",IF(E482="Up",Q482,R482)="5-15 min"),"Continued",IF(S482&gt;=50,"Partial retrace","Stalled / chop"))))</f>
        <v/>
      </c>
      <c r="W482" s="26">
        <f>IF(OR(Q482="",R482=""),"",IFERROR(IF(AND(Q482="Not by 16:00",R482="Not by 16:00"),"Neither taken",IF(FIND("|"&amp;Q482&amp;"|","|1-5 min|5-15 min|15-60 min|9:30-11:00|11:00-16:00|Not by 16:00|")=FIND("|"&amp;R482&amp;"|","|1-5 min|5-15 min|15-60 min|9:30-11:00|11:00-16:00|Not by 16:00|"),"Same window",IF(FIND("|"&amp;Q482&amp;"|","|1-5 min|5-15 min|15-60 min|9:30-11:00|11:00-16:00|Not by 16:00|")&lt;FIND("|"&amp;R482&amp;"|","|1-5 min|5-15 min|15-60 min|9:30-11:00|11:00-16:00|Not by 16:00|"),IF(E482="Up","High first (main side)",IF(E482="Down","High first (wick side)","High first")),IF(E482="Down","Low first (main side)",IF(E482="Up","Low first (wick side)","Low first"))))),"Check entries"))</f>
        <v/>
      </c>
      <c r="X482" s="28" t="n"/>
      <c r="Y482" s="27" t="n"/>
      <c r="Z482" s="27" t="n"/>
      <c r="AA482" s="27" t="n"/>
      <c r="AB482" s="27" t="n"/>
      <c r="AC482" s="27" t="n"/>
      <c r="AD482" s="27" t="n"/>
      <c r="AE482" s="28" t="n"/>
      <c r="AF482" s="30" t="n"/>
      <c r="AG482" s="27" t="n"/>
    </row>
    <row r="483">
      <c r="A483" s="25" t="n"/>
      <c r="B483" s="26">
        <f>IF(ISNUMBER(A483),TEXT(A483,"ddd"),"")</f>
        <v/>
      </c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8" t="n"/>
      <c r="M483" s="26">
        <f>IF(OR(L483="",AND(E483&lt;&gt;"Up",E483&lt;&gt;"Down")),"",IF(OR(L483="In line",L483="Mixed"),"Neutral data",IF(OR(AND(L483="Hotter",E483="Down"),AND(L483="Cooler",E483="Up")),"With data","Against data")))</f>
        <v/>
      </c>
      <c r="N483" s="28" t="n"/>
      <c r="O483" s="27" t="n"/>
      <c r="P483" s="27" t="n"/>
      <c r="Q483" s="28" t="n"/>
      <c r="R483" s="27" t="n"/>
      <c r="S483" s="29" t="n"/>
      <c r="T483" s="27" t="n"/>
      <c r="U483" s="27" t="n"/>
      <c r="V483" s="26">
        <f>IF(OR(AND(E483&lt;&gt;"Up",E483&lt;&gt;"Down"),NOT(ISNUMBER(S483)),IF(E483="Up",Q483,R483)=""),"",IF(S483&gt;=100,"Back to open",IF(OR(IF(E483="Up",Q483,R483)="1-5 min",IF(E483="Up",Q483,R483)="5-15 min"),"Continued",IF(S483&gt;=50,"Partial retrace","Stalled / chop"))))</f>
        <v/>
      </c>
      <c r="W483" s="26">
        <f>IF(OR(Q483="",R483=""),"",IFERROR(IF(AND(Q483="Not by 16:00",R483="Not by 16:00"),"Neither taken",IF(FIND("|"&amp;Q483&amp;"|","|1-5 min|5-15 min|15-60 min|9:30-11:00|11:00-16:00|Not by 16:00|")=FIND("|"&amp;R483&amp;"|","|1-5 min|5-15 min|15-60 min|9:30-11:00|11:00-16:00|Not by 16:00|"),"Same window",IF(FIND("|"&amp;Q483&amp;"|","|1-5 min|5-15 min|15-60 min|9:30-11:00|11:00-16:00|Not by 16:00|")&lt;FIND("|"&amp;R483&amp;"|","|1-5 min|5-15 min|15-60 min|9:30-11:00|11:00-16:00|Not by 16:00|"),IF(E483="Up","High first (main side)",IF(E483="Down","High first (wick side)","High first")),IF(E483="Down","Low first (main side)",IF(E483="Up","Low first (wick side)","Low first"))))),"Check entries"))</f>
        <v/>
      </c>
      <c r="X483" s="28" t="n"/>
      <c r="Y483" s="27" t="n"/>
      <c r="Z483" s="27" t="n"/>
      <c r="AA483" s="27" t="n"/>
      <c r="AB483" s="27" t="n"/>
      <c r="AC483" s="27" t="n"/>
      <c r="AD483" s="27" t="n"/>
      <c r="AE483" s="28" t="n"/>
      <c r="AF483" s="30" t="n"/>
      <c r="AG483" s="27" t="n"/>
    </row>
    <row r="484">
      <c r="A484" s="25" t="n"/>
      <c r="B484" s="26">
        <f>IF(ISNUMBER(A484),TEXT(A484,"ddd"),"")</f>
        <v/>
      </c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8" t="n"/>
      <c r="M484" s="26">
        <f>IF(OR(L484="",AND(E484&lt;&gt;"Up",E484&lt;&gt;"Down")),"",IF(OR(L484="In line",L484="Mixed"),"Neutral data",IF(OR(AND(L484="Hotter",E484="Down"),AND(L484="Cooler",E484="Up")),"With data","Against data")))</f>
        <v/>
      </c>
      <c r="N484" s="28" t="n"/>
      <c r="O484" s="27" t="n"/>
      <c r="P484" s="27" t="n"/>
      <c r="Q484" s="28" t="n"/>
      <c r="R484" s="27" t="n"/>
      <c r="S484" s="29" t="n"/>
      <c r="T484" s="27" t="n"/>
      <c r="U484" s="27" t="n"/>
      <c r="V484" s="26">
        <f>IF(OR(AND(E484&lt;&gt;"Up",E484&lt;&gt;"Down"),NOT(ISNUMBER(S484)),IF(E484="Up",Q484,R484)=""),"",IF(S484&gt;=100,"Back to open",IF(OR(IF(E484="Up",Q484,R484)="1-5 min",IF(E484="Up",Q484,R484)="5-15 min"),"Continued",IF(S484&gt;=50,"Partial retrace","Stalled / chop"))))</f>
        <v/>
      </c>
      <c r="W484" s="26">
        <f>IF(OR(Q484="",R484=""),"",IFERROR(IF(AND(Q484="Not by 16:00",R484="Not by 16:00"),"Neither taken",IF(FIND("|"&amp;Q484&amp;"|","|1-5 min|5-15 min|15-60 min|9:30-11:00|11:00-16:00|Not by 16:00|")=FIND("|"&amp;R484&amp;"|","|1-5 min|5-15 min|15-60 min|9:30-11:00|11:00-16:00|Not by 16:00|"),"Same window",IF(FIND("|"&amp;Q484&amp;"|","|1-5 min|5-15 min|15-60 min|9:30-11:00|11:00-16:00|Not by 16:00|")&lt;FIND("|"&amp;R484&amp;"|","|1-5 min|5-15 min|15-60 min|9:30-11:00|11:00-16:00|Not by 16:00|"),IF(E484="Up","High first (main side)",IF(E484="Down","High first (wick side)","High first")),IF(E484="Down","Low first (main side)",IF(E484="Up","Low first (wick side)","Low first"))))),"Check entries"))</f>
        <v/>
      </c>
      <c r="X484" s="28" t="n"/>
      <c r="Y484" s="27" t="n"/>
      <c r="Z484" s="27" t="n"/>
      <c r="AA484" s="27" t="n"/>
      <c r="AB484" s="27" t="n"/>
      <c r="AC484" s="27" t="n"/>
      <c r="AD484" s="27" t="n"/>
      <c r="AE484" s="28" t="n"/>
      <c r="AF484" s="30" t="n"/>
      <c r="AG484" s="27" t="n"/>
    </row>
    <row r="485">
      <c r="A485" s="25" t="n"/>
      <c r="B485" s="26">
        <f>IF(ISNUMBER(A485),TEXT(A485,"ddd"),"")</f>
        <v/>
      </c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8" t="n"/>
      <c r="M485" s="26">
        <f>IF(OR(L485="",AND(E485&lt;&gt;"Up",E485&lt;&gt;"Down")),"",IF(OR(L485="In line",L485="Mixed"),"Neutral data",IF(OR(AND(L485="Hotter",E485="Down"),AND(L485="Cooler",E485="Up")),"With data","Against data")))</f>
        <v/>
      </c>
      <c r="N485" s="28" t="n"/>
      <c r="O485" s="27" t="n"/>
      <c r="P485" s="27" t="n"/>
      <c r="Q485" s="28" t="n"/>
      <c r="R485" s="27" t="n"/>
      <c r="S485" s="29" t="n"/>
      <c r="T485" s="27" t="n"/>
      <c r="U485" s="27" t="n"/>
      <c r="V485" s="26">
        <f>IF(OR(AND(E485&lt;&gt;"Up",E485&lt;&gt;"Down"),NOT(ISNUMBER(S485)),IF(E485="Up",Q485,R485)=""),"",IF(S485&gt;=100,"Back to open",IF(OR(IF(E485="Up",Q485,R485)="1-5 min",IF(E485="Up",Q485,R485)="5-15 min"),"Continued",IF(S485&gt;=50,"Partial retrace","Stalled / chop"))))</f>
        <v/>
      </c>
      <c r="W485" s="26">
        <f>IF(OR(Q485="",R485=""),"",IFERROR(IF(AND(Q485="Not by 16:00",R485="Not by 16:00"),"Neither taken",IF(FIND("|"&amp;Q485&amp;"|","|1-5 min|5-15 min|15-60 min|9:30-11:00|11:00-16:00|Not by 16:00|")=FIND("|"&amp;R485&amp;"|","|1-5 min|5-15 min|15-60 min|9:30-11:00|11:00-16:00|Not by 16:00|"),"Same window",IF(FIND("|"&amp;Q485&amp;"|","|1-5 min|5-15 min|15-60 min|9:30-11:00|11:00-16:00|Not by 16:00|")&lt;FIND("|"&amp;R485&amp;"|","|1-5 min|5-15 min|15-60 min|9:30-11:00|11:00-16:00|Not by 16:00|"),IF(E485="Up","High first (main side)",IF(E485="Down","High first (wick side)","High first")),IF(E485="Down","Low first (main side)",IF(E485="Up","Low first (wick side)","Low first"))))),"Check entries"))</f>
        <v/>
      </c>
      <c r="X485" s="28" t="n"/>
      <c r="Y485" s="27" t="n"/>
      <c r="Z485" s="27" t="n"/>
      <c r="AA485" s="27" t="n"/>
      <c r="AB485" s="27" t="n"/>
      <c r="AC485" s="27" t="n"/>
      <c r="AD485" s="27" t="n"/>
      <c r="AE485" s="28" t="n"/>
      <c r="AF485" s="30" t="n"/>
      <c r="AG485" s="27" t="n"/>
    </row>
    <row r="486">
      <c r="A486" s="25" t="n"/>
      <c r="B486" s="26">
        <f>IF(ISNUMBER(A486),TEXT(A486,"ddd"),"")</f>
        <v/>
      </c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8" t="n"/>
      <c r="M486" s="26">
        <f>IF(OR(L486="",AND(E486&lt;&gt;"Up",E486&lt;&gt;"Down")),"",IF(OR(L486="In line",L486="Mixed"),"Neutral data",IF(OR(AND(L486="Hotter",E486="Down"),AND(L486="Cooler",E486="Up")),"With data","Against data")))</f>
        <v/>
      </c>
      <c r="N486" s="28" t="n"/>
      <c r="O486" s="27" t="n"/>
      <c r="P486" s="27" t="n"/>
      <c r="Q486" s="28" t="n"/>
      <c r="R486" s="27" t="n"/>
      <c r="S486" s="29" t="n"/>
      <c r="T486" s="27" t="n"/>
      <c r="U486" s="27" t="n"/>
      <c r="V486" s="26">
        <f>IF(OR(AND(E486&lt;&gt;"Up",E486&lt;&gt;"Down"),NOT(ISNUMBER(S486)),IF(E486="Up",Q486,R486)=""),"",IF(S486&gt;=100,"Back to open",IF(OR(IF(E486="Up",Q486,R486)="1-5 min",IF(E486="Up",Q486,R486)="5-15 min"),"Continued",IF(S486&gt;=50,"Partial retrace","Stalled / chop"))))</f>
        <v/>
      </c>
      <c r="W486" s="26">
        <f>IF(OR(Q486="",R486=""),"",IFERROR(IF(AND(Q486="Not by 16:00",R486="Not by 16:00"),"Neither taken",IF(FIND("|"&amp;Q486&amp;"|","|1-5 min|5-15 min|15-60 min|9:30-11:00|11:00-16:00|Not by 16:00|")=FIND("|"&amp;R486&amp;"|","|1-5 min|5-15 min|15-60 min|9:30-11:00|11:00-16:00|Not by 16:00|"),"Same window",IF(FIND("|"&amp;Q486&amp;"|","|1-5 min|5-15 min|15-60 min|9:30-11:00|11:00-16:00|Not by 16:00|")&lt;FIND("|"&amp;R486&amp;"|","|1-5 min|5-15 min|15-60 min|9:30-11:00|11:00-16:00|Not by 16:00|"),IF(E486="Up","High first (main side)",IF(E486="Down","High first (wick side)","High first")),IF(E486="Down","Low first (main side)",IF(E486="Up","Low first (wick side)","Low first"))))),"Check entries"))</f>
        <v/>
      </c>
      <c r="X486" s="28" t="n"/>
      <c r="Y486" s="27" t="n"/>
      <c r="Z486" s="27" t="n"/>
      <c r="AA486" s="27" t="n"/>
      <c r="AB486" s="27" t="n"/>
      <c r="AC486" s="27" t="n"/>
      <c r="AD486" s="27" t="n"/>
      <c r="AE486" s="28" t="n"/>
      <c r="AF486" s="30" t="n"/>
      <c r="AG486" s="27" t="n"/>
    </row>
    <row r="487">
      <c r="A487" s="25" t="n"/>
      <c r="B487" s="26">
        <f>IF(ISNUMBER(A487),TEXT(A487,"ddd"),"")</f>
        <v/>
      </c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8" t="n"/>
      <c r="M487" s="26">
        <f>IF(OR(L487="",AND(E487&lt;&gt;"Up",E487&lt;&gt;"Down")),"",IF(OR(L487="In line",L487="Mixed"),"Neutral data",IF(OR(AND(L487="Hotter",E487="Down"),AND(L487="Cooler",E487="Up")),"With data","Against data")))</f>
        <v/>
      </c>
      <c r="N487" s="28" t="n"/>
      <c r="O487" s="27" t="n"/>
      <c r="P487" s="27" t="n"/>
      <c r="Q487" s="28" t="n"/>
      <c r="R487" s="27" t="n"/>
      <c r="S487" s="29" t="n"/>
      <c r="T487" s="27" t="n"/>
      <c r="U487" s="27" t="n"/>
      <c r="V487" s="26">
        <f>IF(OR(AND(E487&lt;&gt;"Up",E487&lt;&gt;"Down"),NOT(ISNUMBER(S487)),IF(E487="Up",Q487,R487)=""),"",IF(S487&gt;=100,"Back to open",IF(OR(IF(E487="Up",Q487,R487)="1-5 min",IF(E487="Up",Q487,R487)="5-15 min"),"Continued",IF(S487&gt;=50,"Partial retrace","Stalled / chop"))))</f>
        <v/>
      </c>
      <c r="W487" s="26">
        <f>IF(OR(Q487="",R487=""),"",IFERROR(IF(AND(Q487="Not by 16:00",R487="Not by 16:00"),"Neither taken",IF(FIND("|"&amp;Q487&amp;"|","|1-5 min|5-15 min|15-60 min|9:30-11:00|11:00-16:00|Not by 16:00|")=FIND("|"&amp;R487&amp;"|","|1-5 min|5-15 min|15-60 min|9:30-11:00|11:00-16:00|Not by 16:00|"),"Same window",IF(FIND("|"&amp;Q487&amp;"|","|1-5 min|5-15 min|15-60 min|9:30-11:00|11:00-16:00|Not by 16:00|")&lt;FIND("|"&amp;R487&amp;"|","|1-5 min|5-15 min|15-60 min|9:30-11:00|11:00-16:00|Not by 16:00|"),IF(E487="Up","High first (main side)",IF(E487="Down","High first (wick side)","High first")),IF(E487="Down","Low first (main side)",IF(E487="Up","Low first (wick side)","Low first"))))),"Check entries"))</f>
        <v/>
      </c>
      <c r="X487" s="28" t="n"/>
      <c r="Y487" s="27" t="n"/>
      <c r="Z487" s="27" t="n"/>
      <c r="AA487" s="27" t="n"/>
      <c r="AB487" s="27" t="n"/>
      <c r="AC487" s="27" t="n"/>
      <c r="AD487" s="27" t="n"/>
      <c r="AE487" s="28" t="n"/>
      <c r="AF487" s="30" t="n"/>
      <c r="AG487" s="27" t="n"/>
    </row>
    <row r="488">
      <c r="A488" s="25" t="n"/>
      <c r="B488" s="26">
        <f>IF(ISNUMBER(A488),TEXT(A488,"ddd"),"")</f>
        <v/>
      </c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8" t="n"/>
      <c r="M488" s="26">
        <f>IF(OR(L488="",AND(E488&lt;&gt;"Up",E488&lt;&gt;"Down")),"",IF(OR(L488="In line",L488="Mixed"),"Neutral data",IF(OR(AND(L488="Hotter",E488="Down"),AND(L488="Cooler",E488="Up")),"With data","Against data")))</f>
        <v/>
      </c>
      <c r="N488" s="28" t="n"/>
      <c r="O488" s="27" t="n"/>
      <c r="P488" s="27" t="n"/>
      <c r="Q488" s="28" t="n"/>
      <c r="R488" s="27" t="n"/>
      <c r="S488" s="29" t="n"/>
      <c r="T488" s="27" t="n"/>
      <c r="U488" s="27" t="n"/>
      <c r="V488" s="26">
        <f>IF(OR(AND(E488&lt;&gt;"Up",E488&lt;&gt;"Down"),NOT(ISNUMBER(S488)),IF(E488="Up",Q488,R488)=""),"",IF(S488&gt;=100,"Back to open",IF(OR(IF(E488="Up",Q488,R488)="1-5 min",IF(E488="Up",Q488,R488)="5-15 min"),"Continued",IF(S488&gt;=50,"Partial retrace","Stalled / chop"))))</f>
        <v/>
      </c>
      <c r="W488" s="26">
        <f>IF(OR(Q488="",R488=""),"",IFERROR(IF(AND(Q488="Not by 16:00",R488="Not by 16:00"),"Neither taken",IF(FIND("|"&amp;Q488&amp;"|","|1-5 min|5-15 min|15-60 min|9:30-11:00|11:00-16:00|Not by 16:00|")=FIND("|"&amp;R488&amp;"|","|1-5 min|5-15 min|15-60 min|9:30-11:00|11:00-16:00|Not by 16:00|"),"Same window",IF(FIND("|"&amp;Q488&amp;"|","|1-5 min|5-15 min|15-60 min|9:30-11:00|11:00-16:00|Not by 16:00|")&lt;FIND("|"&amp;R488&amp;"|","|1-5 min|5-15 min|15-60 min|9:30-11:00|11:00-16:00|Not by 16:00|"),IF(E488="Up","High first (main side)",IF(E488="Down","High first (wick side)","High first")),IF(E488="Down","Low first (main side)",IF(E488="Up","Low first (wick side)","Low first"))))),"Check entries"))</f>
        <v/>
      </c>
      <c r="X488" s="28" t="n"/>
      <c r="Y488" s="27" t="n"/>
      <c r="Z488" s="27" t="n"/>
      <c r="AA488" s="27" t="n"/>
      <c r="AB488" s="27" t="n"/>
      <c r="AC488" s="27" t="n"/>
      <c r="AD488" s="27" t="n"/>
      <c r="AE488" s="28" t="n"/>
      <c r="AF488" s="30" t="n"/>
      <c r="AG488" s="27" t="n"/>
    </row>
    <row r="489">
      <c r="A489" s="25" t="n"/>
      <c r="B489" s="26">
        <f>IF(ISNUMBER(A489),TEXT(A489,"ddd"),"")</f>
        <v/>
      </c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8" t="n"/>
      <c r="M489" s="26">
        <f>IF(OR(L489="",AND(E489&lt;&gt;"Up",E489&lt;&gt;"Down")),"",IF(OR(L489="In line",L489="Mixed"),"Neutral data",IF(OR(AND(L489="Hotter",E489="Down"),AND(L489="Cooler",E489="Up")),"With data","Against data")))</f>
        <v/>
      </c>
      <c r="N489" s="28" t="n"/>
      <c r="O489" s="27" t="n"/>
      <c r="P489" s="27" t="n"/>
      <c r="Q489" s="28" t="n"/>
      <c r="R489" s="27" t="n"/>
      <c r="S489" s="29" t="n"/>
      <c r="T489" s="27" t="n"/>
      <c r="U489" s="27" t="n"/>
      <c r="V489" s="26">
        <f>IF(OR(AND(E489&lt;&gt;"Up",E489&lt;&gt;"Down"),NOT(ISNUMBER(S489)),IF(E489="Up",Q489,R489)=""),"",IF(S489&gt;=100,"Back to open",IF(OR(IF(E489="Up",Q489,R489)="1-5 min",IF(E489="Up",Q489,R489)="5-15 min"),"Continued",IF(S489&gt;=50,"Partial retrace","Stalled / chop"))))</f>
        <v/>
      </c>
      <c r="W489" s="26">
        <f>IF(OR(Q489="",R489=""),"",IFERROR(IF(AND(Q489="Not by 16:00",R489="Not by 16:00"),"Neither taken",IF(FIND("|"&amp;Q489&amp;"|","|1-5 min|5-15 min|15-60 min|9:30-11:00|11:00-16:00|Not by 16:00|")=FIND("|"&amp;R489&amp;"|","|1-5 min|5-15 min|15-60 min|9:30-11:00|11:00-16:00|Not by 16:00|"),"Same window",IF(FIND("|"&amp;Q489&amp;"|","|1-5 min|5-15 min|15-60 min|9:30-11:00|11:00-16:00|Not by 16:00|")&lt;FIND("|"&amp;R489&amp;"|","|1-5 min|5-15 min|15-60 min|9:30-11:00|11:00-16:00|Not by 16:00|"),IF(E489="Up","High first (main side)",IF(E489="Down","High first (wick side)","High first")),IF(E489="Down","Low first (main side)",IF(E489="Up","Low first (wick side)","Low first"))))),"Check entries"))</f>
        <v/>
      </c>
      <c r="X489" s="28" t="n"/>
      <c r="Y489" s="27" t="n"/>
      <c r="Z489" s="27" t="n"/>
      <c r="AA489" s="27" t="n"/>
      <c r="AB489" s="27" t="n"/>
      <c r="AC489" s="27" t="n"/>
      <c r="AD489" s="27" t="n"/>
      <c r="AE489" s="28" t="n"/>
      <c r="AF489" s="30" t="n"/>
      <c r="AG489" s="27" t="n"/>
    </row>
    <row r="490">
      <c r="A490" s="25" t="n"/>
      <c r="B490" s="26">
        <f>IF(ISNUMBER(A490),TEXT(A490,"ddd"),"")</f>
        <v/>
      </c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8" t="n"/>
      <c r="M490" s="26">
        <f>IF(OR(L490="",AND(E490&lt;&gt;"Up",E490&lt;&gt;"Down")),"",IF(OR(L490="In line",L490="Mixed"),"Neutral data",IF(OR(AND(L490="Hotter",E490="Down"),AND(L490="Cooler",E490="Up")),"With data","Against data")))</f>
        <v/>
      </c>
      <c r="N490" s="28" t="n"/>
      <c r="O490" s="27" t="n"/>
      <c r="P490" s="27" t="n"/>
      <c r="Q490" s="28" t="n"/>
      <c r="R490" s="27" t="n"/>
      <c r="S490" s="29" t="n"/>
      <c r="T490" s="27" t="n"/>
      <c r="U490" s="27" t="n"/>
      <c r="V490" s="26">
        <f>IF(OR(AND(E490&lt;&gt;"Up",E490&lt;&gt;"Down"),NOT(ISNUMBER(S490)),IF(E490="Up",Q490,R490)=""),"",IF(S490&gt;=100,"Back to open",IF(OR(IF(E490="Up",Q490,R490)="1-5 min",IF(E490="Up",Q490,R490)="5-15 min"),"Continued",IF(S490&gt;=50,"Partial retrace","Stalled / chop"))))</f>
        <v/>
      </c>
      <c r="W490" s="26">
        <f>IF(OR(Q490="",R490=""),"",IFERROR(IF(AND(Q490="Not by 16:00",R490="Not by 16:00"),"Neither taken",IF(FIND("|"&amp;Q490&amp;"|","|1-5 min|5-15 min|15-60 min|9:30-11:00|11:00-16:00|Not by 16:00|")=FIND("|"&amp;R490&amp;"|","|1-5 min|5-15 min|15-60 min|9:30-11:00|11:00-16:00|Not by 16:00|"),"Same window",IF(FIND("|"&amp;Q490&amp;"|","|1-5 min|5-15 min|15-60 min|9:30-11:00|11:00-16:00|Not by 16:00|")&lt;FIND("|"&amp;R490&amp;"|","|1-5 min|5-15 min|15-60 min|9:30-11:00|11:00-16:00|Not by 16:00|"),IF(E490="Up","High first (main side)",IF(E490="Down","High first (wick side)","High first")),IF(E490="Down","Low first (main side)",IF(E490="Up","Low first (wick side)","Low first"))))),"Check entries"))</f>
        <v/>
      </c>
      <c r="X490" s="28" t="n"/>
      <c r="Y490" s="27" t="n"/>
      <c r="Z490" s="27" t="n"/>
      <c r="AA490" s="27" t="n"/>
      <c r="AB490" s="27" t="n"/>
      <c r="AC490" s="27" t="n"/>
      <c r="AD490" s="27" t="n"/>
      <c r="AE490" s="28" t="n"/>
      <c r="AF490" s="30" t="n"/>
      <c r="AG490" s="27" t="n"/>
    </row>
    <row r="491">
      <c r="A491" s="25" t="n"/>
      <c r="B491" s="26">
        <f>IF(ISNUMBER(A491),TEXT(A491,"ddd"),"")</f>
        <v/>
      </c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8" t="n"/>
      <c r="M491" s="26">
        <f>IF(OR(L491="",AND(E491&lt;&gt;"Up",E491&lt;&gt;"Down")),"",IF(OR(L491="In line",L491="Mixed"),"Neutral data",IF(OR(AND(L491="Hotter",E491="Down"),AND(L491="Cooler",E491="Up")),"With data","Against data")))</f>
        <v/>
      </c>
      <c r="N491" s="28" t="n"/>
      <c r="O491" s="27" t="n"/>
      <c r="P491" s="27" t="n"/>
      <c r="Q491" s="28" t="n"/>
      <c r="R491" s="27" t="n"/>
      <c r="S491" s="29" t="n"/>
      <c r="T491" s="27" t="n"/>
      <c r="U491" s="27" t="n"/>
      <c r="V491" s="26">
        <f>IF(OR(AND(E491&lt;&gt;"Up",E491&lt;&gt;"Down"),NOT(ISNUMBER(S491)),IF(E491="Up",Q491,R491)=""),"",IF(S491&gt;=100,"Back to open",IF(OR(IF(E491="Up",Q491,R491)="1-5 min",IF(E491="Up",Q491,R491)="5-15 min"),"Continued",IF(S491&gt;=50,"Partial retrace","Stalled / chop"))))</f>
        <v/>
      </c>
      <c r="W491" s="26">
        <f>IF(OR(Q491="",R491=""),"",IFERROR(IF(AND(Q491="Not by 16:00",R491="Not by 16:00"),"Neither taken",IF(FIND("|"&amp;Q491&amp;"|","|1-5 min|5-15 min|15-60 min|9:30-11:00|11:00-16:00|Not by 16:00|")=FIND("|"&amp;R491&amp;"|","|1-5 min|5-15 min|15-60 min|9:30-11:00|11:00-16:00|Not by 16:00|"),"Same window",IF(FIND("|"&amp;Q491&amp;"|","|1-5 min|5-15 min|15-60 min|9:30-11:00|11:00-16:00|Not by 16:00|")&lt;FIND("|"&amp;R491&amp;"|","|1-5 min|5-15 min|15-60 min|9:30-11:00|11:00-16:00|Not by 16:00|"),IF(E491="Up","High first (main side)",IF(E491="Down","High first (wick side)","High first")),IF(E491="Down","Low first (main side)",IF(E491="Up","Low first (wick side)","Low first"))))),"Check entries"))</f>
        <v/>
      </c>
      <c r="X491" s="28" t="n"/>
      <c r="Y491" s="27" t="n"/>
      <c r="Z491" s="27" t="n"/>
      <c r="AA491" s="27" t="n"/>
      <c r="AB491" s="27" t="n"/>
      <c r="AC491" s="27" t="n"/>
      <c r="AD491" s="27" t="n"/>
      <c r="AE491" s="28" t="n"/>
      <c r="AF491" s="30" t="n"/>
      <c r="AG491" s="27" t="n"/>
    </row>
    <row r="492">
      <c r="A492" s="25" t="n"/>
      <c r="B492" s="26">
        <f>IF(ISNUMBER(A492),TEXT(A492,"ddd"),"")</f>
        <v/>
      </c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8" t="n"/>
      <c r="M492" s="26">
        <f>IF(OR(L492="",AND(E492&lt;&gt;"Up",E492&lt;&gt;"Down")),"",IF(OR(L492="In line",L492="Mixed"),"Neutral data",IF(OR(AND(L492="Hotter",E492="Down"),AND(L492="Cooler",E492="Up")),"With data","Against data")))</f>
        <v/>
      </c>
      <c r="N492" s="28" t="n"/>
      <c r="O492" s="27" t="n"/>
      <c r="P492" s="27" t="n"/>
      <c r="Q492" s="28" t="n"/>
      <c r="R492" s="27" t="n"/>
      <c r="S492" s="29" t="n"/>
      <c r="T492" s="27" t="n"/>
      <c r="U492" s="27" t="n"/>
      <c r="V492" s="26">
        <f>IF(OR(AND(E492&lt;&gt;"Up",E492&lt;&gt;"Down"),NOT(ISNUMBER(S492)),IF(E492="Up",Q492,R492)=""),"",IF(S492&gt;=100,"Back to open",IF(OR(IF(E492="Up",Q492,R492)="1-5 min",IF(E492="Up",Q492,R492)="5-15 min"),"Continued",IF(S492&gt;=50,"Partial retrace","Stalled / chop"))))</f>
        <v/>
      </c>
      <c r="W492" s="26">
        <f>IF(OR(Q492="",R492=""),"",IFERROR(IF(AND(Q492="Not by 16:00",R492="Not by 16:00"),"Neither taken",IF(FIND("|"&amp;Q492&amp;"|","|1-5 min|5-15 min|15-60 min|9:30-11:00|11:00-16:00|Not by 16:00|")=FIND("|"&amp;R492&amp;"|","|1-5 min|5-15 min|15-60 min|9:30-11:00|11:00-16:00|Not by 16:00|"),"Same window",IF(FIND("|"&amp;Q492&amp;"|","|1-5 min|5-15 min|15-60 min|9:30-11:00|11:00-16:00|Not by 16:00|")&lt;FIND("|"&amp;R492&amp;"|","|1-5 min|5-15 min|15-60 min|9:30-11:00|11:00-16:00|Not by 16:00|"),IF(E492="Up","High first (main side)",IF(E492="Down","High first (wick side)","High first")),IF(E492="Down","Low first (main side)",IF(E492="Up","Low first (wick side)","Low first"))))),"Check entries"))</f>
        <v/>
      </c>
      <c r="X492" s="28" t="n"/>
      <c r="Y492" s="27" t="n"/>
      <c r="Z492" s="27" t="n"/>
      <c r="AA492" s="27" t="n"/>
      <c r="AB492" s="27" t="n"/>
      <c r="AC492" s="27" t="n"/>
      <c r="AD492" s="27" t="n"/>
      <c r="AE492" s="28" t="n"/>
      <c r="AF492" s="30" t="n"/>
      <c r="AG492" s="27" t="n"/>
    </row>
    <row r="493">
      <c r="A493" s="25" t="n"/>
      <c r="B493" s="26">
        <f>IF(ISNUMBER(A493),TEXT(A493,"ddd"),"")</f>
        <v/>
      </c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8" t="n"/>
      <c r="M493" s="26">
        <f>IF(OR(L493="",AND(E493&lt;&gt;"Up",E493&lt;&gt;"Down")),"",IF(OR(L493="In line",L493="Mixed"),"Neutral data",IF(OR(AND(L493="Hotter",E493="Down"),AND(L493="Cooler",E493="Up")),"With data","Against data")))</f>
        <v/>
      </c>
      <c r="N493" s="28" t="n"/>
      <c r="O493" s="27" t="n"/>
      <c r="P493" s="27" t="n"/>
      <c r="Q493" s="28" t="n"/>
      <c r="R493" s="27" t="n"/>
      <c r="S493" s="29" t="n"/>
      <c r="T493" s="27" t="n"/>
      <c r="U493" s="27" t="n"/>
      <c r="V493" s="26">
        <f>IF(OR(AND(E493&lt;&gt;"Up",E493&lt;&gt;"Down"),NOT(ISNUMBER(S493)),IF(E493="Up",Q493,R493)=""),"",IF(S493&gt;=100,"Back to open",IF(OR(IF(E493="Up",Q493,R493)="1-5 min",IF(E493="Up",Q493,R493)="5-15 min"),"Continued",IF(S493&gt;=50,"Partial retrace","Stalled / chop"))))</f>
        <v/>
      </c>
      <c r="W493" s="26">
        <f>IF(OR(Q493="",R493=""),"",IFERROR(IF(AND(Q493="Not by 16:00",R493="Not by 16:00"),"Neither taken",IF(FIND("|"&amp;Q493&amp;"|","|1-5 min|5-15 min|15-60 min|9:30-11:00|11:00-16:00|Not by 16:00|")=FIND("|"&amp;R493&amp;"|","|1-5 min|5-15 min|15-60 min|9:30-11:00|11:00-16:00|Not by 16:00|"),"Same window",IF(FIND("|"&amp;Q493&amp;"|","|1-5 min|5-15 min|15-60 min|9:30-11:00|11:00-16:00|Not by 16:00|")&lt;FIND("|"&amp;R493&amp;"|","|1-5 min|5-15 min|15-60 min|9:30-11:00|11:00-16:00|Not by 16:00|"),IF(E493="Up","High first (main side)",IF(E493="Down","High first (wick side)","High first")),IF(E493="Down","Low first (main side)",IF(E493="Up","Low first (wick side)","Low first"))))),"Check entries"))</f>
        <v/>
      </c>
      <c r="X493" s="28" t="n"/>
      <c r="Y493" s="27" t="n"/>
      <c r="Z493" s="27" t="n"/>
      <c r="AA493" s="27" t="n"/>
      <c r="AB493" s="27" t="n"/>
      <c r="AC493" s="27" t="n"/>
      <c r="AD493" s="27" t="n"/>
      <c r="AE493" s="28" t="n"/>
      <c r="AF493" s="30" t="n"/>
      <c r="AG493" s="27" t="n"/>
    </row>
    <row r="494">
      <c r="A494" s="25" t="n"/>
      <c r="B494" s="26">
        <f>IF(ISNUMBER(A494),TEXT(A494,"ddd"),"")</f>
        <v/>
      </c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8" t="n"/>
      <c r="M494" s="26">
        <f>IF(OR(L494="",AND(E494&lt;&gt;"Up",E494&lt;&gt;"Down")),"",IF(OR(L494="In line",L494="Mixed"),"Neutral data",IF(OR(AND(L494="Hotter",E494="Down"),AND(L494="Cooler",E494="Up")),"With data","Against data")))</f>
        <v/>
      </c>
      <c r="N494" s="28" t="n"/>
      <c r="O494" s="27" t="n"/>
      <c r="P494" s="27" t="n"/>
      <c r="Q494" s="28" t="n"/>
      <c r="R494" s="27" t="n"/>
      <c r="S494" s="29" t="n"/>
      <c r="T494" s="27" t="n"/>
      <c r="U494" s="27" t="n"/>
      <c r="V494" s="26">
        <f>IF(OR(AND(E494&lt;&gt;"Up",E494&lt;&gt;"Down"),NOT(ISNUMBER(S494)),IF(E494="Up",Q494,R494)=""),"",IF(S494&gt;=100,"Back to open",IF(OR(IF(E494="Up",Q494,R494)="1-5 min",IF(E494="Up",Q494,R494)="5-15 min"),"Continued",IF(S494&gt;=50,"Partial retrace","Stalled / chop"))))</f>
        <v/>
      </c>
      <c r="W494" s="26">
        <f>IF(OR(Q494="",R494=""),"",IFERROR(IF(AND(Q494="Not by 16:00",R494="Not by 16:00"),"Neither taken",IF(FIND("|"&amp;Q494&amp;"|","|1-5 min|5-15 min|15-60 min|9:30-11:00|11:00-16:00|Not by 16:00|")=FIND("|"&amp;R494&amp;"|","|1-5 min|5-15 min|15-60 min|9:30-11:00|11:00-16:00|Not by 16:00|"),"Same window",IF(FIND("|"&amp;Q494&amp;"|","|1-5 min|5-15 min|15-60 min|9:30-11:00|11:00-16:00|Not by 16:00|")&lt;FIND("|"&amp;R494&amp;"|","|1-5 min|5-15 min|15-60 min|9:30-11:00|11:00-16:00|Not by 16:00|"),IF(E494="Up","High first (main side)",IF(E494="Down","High first (wick side)","High first")),IF(E494="Down","Low first (main side)",IF(E494="Up","Low first (wick side)","Low first"))))),"Check entries"))</f>
        <v/>
      </c>
      <c r="X494" s="28" t="n"/>
      <c r="Y494" s="27" t="n"/>
      <c r="Z494" s="27" t="n"/>
      <c r="AA494" s="27" t="n"/>
      <c r="AB494" s="27" t="n"/>
      <c r="AC494" s="27" t="n"/>
      <c r="AD494" s="27" t="n"/>
      <c r="AE494" s="28" t="n"/>
      <c r="AF494" s="30" t="n"/>
      <c r="AG494" s="27" t="n"/>
    </row>
    <row r="495">
      <c r="A495" s="25" t="n"/>
      <c r="B495" s="26">
        <f>IF(ISNUMBER(A495),TEXT(A495,"ddd"),"")</f>
        <v/>
      </c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8" t="n"/>
      <c r="M495" s="26">
        <f>IF(OR(L495="",AND(E495&lt;&gt;"Up",E495&lt;&gt;"Down")),"",IF(OR(L495="In line",L495="Mixed"),"Neutral data",IF(OR(AND(L495="Hotter",E495="Down"),AND(L495="Cooler",E495="Up")),"With data","Against data")))</f>
        <v/>
      </c>
      <c r="N495" s="28" t="n"/>
      <c r="O495" s="27" t="n"/>
      <c r="P495" s="27" t="n"/>
      <c r="Q495" s="28" t="n"/>
      <c r="R495" s="27" t="n"/>
      <c r="S495" s="29" t="n"/>
      <c r="T495" s="27" t="n"/>
      <c r="U495" s="27" t="n"/>
      <c r="V495" s="26">
        <f>IF(OR(AND(E495&lt;&gt;"Up",E495&lt;&gt;"Down"),NOT(ISNUMBER(S495)),IF(E495="Up",Q495,R495)=""),"",IF(S495&gt;=100,"Back to open",IF(OR(IF(E495="Up",Q495,R495)="1-5 min",IF(E495="Up",Q495,R495)="5-15 min"),"Continued",IF(S495&gt;=50,"Partial retrace","Stalled / chop"))))</f>
        <v/>
      </c>
      <c r="W495" s="26">
        <f>IF(OR(Q495="",R495=""),"",IFERROR(IF(AND(Q495="Not by 16:00",R495="Not by 16:00"),"Neither taken",IF(FIND("|"&amp;Q495&amp;"|","|1-5 min|5-15 min|15-60 min|9:30-11:00|11:00-16:00|Not by 16:00|")=FIND("|"&amp;R495&amp;"|","|1-5 min|5-15 min|15-60 min|9:30-11:00|11:00-16:00|Not by 16:00|"),"Same window",IF(FIND("|"&amp;Q495&amp;"|","|1-5 min|5-15 min|15-60 min|9:30-11:00|11:00-16:00|Not by 16:00|")&lt;FIND("|"&amp;R495&amp;"|","|1-5 min|5-15 min|15-60 min|9:30-11:00|11:00-16:00|Not by 16:00|"),IF(E495="Up","High first (main side)",IF(E495="Down","High first (wick side)","High first")),IF(E495="Down","Low first (main side)",IF(E495="Up","Low first (wick side)","Low first"))))),"Check entries"))</f>
        <v/>
      </c>
      <c r="X495" s="28" t="n"/>
      <c r="Y495" s="27" t="n"/>
      <c r="Z495" s="27" t="n"/>
      <c r="AA495" s="27" t="n"/>
      <c r="AB495" s="27" t="n"/>
      <c r="AC495" s="27" t="n"/>
      <c r="AD495" s="27" t="n"/>
      <c r="AE495" s="28" t="n"/>
      <c r="AF495" s="30" t="n"/>
      <c r="AG495" s="27" t="n"/>
    </row>
    <row r="496">
      <c r="A496" s="25" t="n"/>
      <c r="B496" s="26">
        <f>IF(ISNUMBER(A496),TEXT(A496,"ddd"),"")</f>
        <v/>
      </c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8" t="n"/>
      <c r="M496" s="26">
        <f>IF(OR(L496="",AND(E496&lt;&gt;"Up",E496&lt;&gt;"Down")),"",IF(OR(L496="In line",L496="Mixed"),"Neutral data",IF(OR(AND(L496="Hotter",E496="Down"),AND(L496="Cooler",E496="Up")),"With data","Against data")))</f>
        <v/>
      </c>
      <c r="N496" s="28" t="n"/>
      <c r="O496" s="27" t="n"/>
      <c r="P496" s="27" t="n"/>
      <c r="Q496" s="28" t="n"/>
      <c r="R496" s="27" t="n"/>
      <c r="S496" s="29" t="n"/>
      <c r="T496" s="27" t="n"/>
      <c r="U496" s="27" t="n"/>
      <c r="V496" s="26">
        <f>IF(OR(AND(E496&lt;&gt;"Up",E496&lt;&gt;"Down"),NOT(ISNUMBER(S496)),IF(E496="Up",Q496,R496)=""),"",IF(S496&gt;=100,"Back to open",IF(OR(IF(E496="Up",Q496,R496)="1-5 min",IF(E496="Up",Q496,R496)="5-15 min"),"Continued",IF(S496&gt;=50,"Partial retrace","Stalled / chop"))))</f>
        <v/>
      </c>
      <c r="W496" s="26">
        <f>IF(OR(Q496="",R496=""),"",IFERROR(IF(AND(Q496="Not by 16:00",R496="Not by 16:00"),"Neither taken",IF(FIND("|"&amp;Q496&amp;"|","|1-5 min|5-15 min|15-60 min|9:30-11:00|11:00-16:00|Not by 16:00|")=FIND("|"&amp;R496&amp;"|","|1-5 min|5-15 min|15-60 min|9:30-11:00|11:00-16:00|Not by 16:00|"),"Same window",IF(FIND("|"&amp;Q496&amp;"|","|1-5 min|5-15 min|15-60 min|9:30-11:00|11:00-16:00|Not by 16:00|")&lt;FIND("|"&amp;R496&amp;"|","|1-5 min|5-15 min|15-60 min|9:30-11:00|11:00-16:00|Not by 16:00|"),IF(E496="Up","High first (main side)",IF(E496="Down","High first (wick side)","High first")),IF(E496="Down","Low first (main side)",IF(E496="Up","Low first (wick side)","Low first"))))),"Check entries"))</f>
        <v/>
      </c>
      <c r="X496" s="28" t="n"/>
      <c r="Y496" s="27" t="n"/>
      <c r="Z496" s="27" t="n"/>
      <c r="AA496" s="27" t="n"/>
      <c r="AB496" s="27" t="n"/>
      <c r="AC496" s="27" t="n"/>
      <c r="AD496" s="27" t="n"/>
      <c r="AE496" s="28" t="n"/>
      <c r="AF496" s="30" t="n"/>
      <c r="AG496" s="27" t="n"/>
    </row>
    <row r="497">
      <c r="A497" s="25" t="n"/>
      <c r="B497" s="26">
        <f>IF(ISNUMBER(A497),TEXT(A497,"ddd"),"")</f>
        <v/>
      </c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8" t="n"/>
      <c r="M497" s="26">
        <f>IF(OR(L497="",AND(E497&lt;&gt;"Up",E497&lt;&gt;"Down")),"",IF(OR(L497="In line",L497="Mixed"),"Neutral data",IF(OR(AND(L497="Hotter",E497="Down"),AND(L497="Cooler",E497="Up")),"With data","Against data")))</f>
        <v/>
      </c>
      <c r="N497" s="28" t="n"/>
      <c r="O497" s="27" t="n"/>
      <c r="P497" s="27" t="n"/>
      <c r="Q497" s="28" t="n"/>
      <c r="R497" s="27" t="n"/>
      <c r="S497" s="29" t="n"/>
      <c r="T497" s="27" t="n"/>
      <c r="U497" s="27" t="n"/>
      <c r="V497" s="26">
        <f>IF(OR(AND(E497&lt;&gt;"Up",E497&lt;&gt;"Down"),NOT(ISNUMBER(S497)),IF(E497="Up",Q497,R497)=""),"",IF(S497&gt;=100,"Back to open",IF(OR(IF(E497="Up",Q497,R497)="1-5 min",IF(E497="Up",Q497,R497)="5-15 min"),"Continued",IF(S497&gt;=50,"Partial retrace","Stalled / chop"))))</f>
        <v/>
      </c>
      <c r="W497" s="26">
        <f>IF(OR(Q497="",R497=""),"",IFERROR(IF(AND(Q497="Not by 16:00",R497="Not by 16:00"),"Neither taken",IF(FIND("|"&amp;Q497&amp;"|","|1-5 min|5-15 min|15-60 min|9:30-11:00|11:00-16:00|Not by 16:00|")=FIND("|"&amp;R497&amp;"|","|1-5 min|5-15 min|15-60 min|9:30-11:00|11:00-16:00|Not by 16:00|"),"Same window",IF(FIND("|"&amp;Q497&amp;"|","|1-5 min|5-15 min|15-60 min|9:30-11:00|11:00-16:00|Not by 16:00|")&lt;FIND("|"&amp;R497&amp;"|","|1-5 min|5-15 min|15-60 min|9:30-11:00|11:00-16:00|Not by 16:00|"),IF(E497="Up","High first (main side)",IF(E497="Down","High first (wick side)","High first")),IF(E497="Down","Low first (main side)",IF(E497="Up","Low first (wick side)","Low first"))))),"Check entries"))</f>
        <v/>
      </c>
      <c r="X497" s="28" t="n"/>
      <c r="Y497" s="27" t="n"/>
      <c r="Z497" s="27" t="n"/>
      <c r="AA497" s="27" t="n"/>
      <c r="AB497" s="27" t="n"/>
      <c r="AC497" s="27" t="n"/>
      <c r="AD497" s="27" t="n"/>
      <c r="AE497" s="28" t="n"/>
      <c r="AF497" s="30" t="n"/>
      <c r="AG497" s="27" t="n"/>
    </row>
    <row r="498">
      <c r="A498" s="25" t="n"/>
      <c r="B498" s="26">
        <f>IF(ISNUMBER(A498),TEXT(A498,"ddd"),"")</f>
        <v/>
      </c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8" t="n"/>
      <c r="M498" s="26">
        <f>IF(OR(L498="",AND(E498&lt;&gt;"Up",E498&lt;&gt;"Down")),"",IF(OR(L498="In line",L498="Mixed"),"Neutral data",IF(OR(AND(L498="Hotter",E498="Down"),AND(L498="Cooler",E498="Up")),"With data","Against data")))</f>
        <v/>
      </c>
      <c r="N498" s="28" t="n"/>
      <c r="O498" s="27" t="n"/>
      <c r="P498" s="27" t="n"/>
      <c r="Q498" s="28" t="n"/>
      <c r="R498" s="27" t="n"/>
      <c r="S498" s="29" t="n"/>
      <c r="T498" s="27" t="n"/>
      <c r="U498" s="27" t="n"/>
      <c r="V498" s="26">
        <f>IF(OR(AND(E498&lt;&gt;"Up",E498&lt;&gt;"Down"),NOT(ISNUMBER(S498)),IF(E498="Up",Q498,R498)=""),"",IF(S498&gt;=100,"Back to open",IF(OR(IF(E498="Up",Q498,R498)="1-5 min",IF(E498="Up",Q498,R498)="5-15 min"),"Continued",IF(S498&gt;=50,"Partial retrace","Stalled / chop"))))</f>
        <v/>
      </c>
      <c r="W498" s="26">
        <f>IF(OR(Q498="",R498=""),"",IFERROR(IF(AND(Q498="Not by 16:00",R498="Not by 16:00"),"Neither taken",IF(FIND("|"&amp;Q498&amp;"|","|1-5 min|5-15 min|15-60 min|9:30-11:00|11:00-16:00|Not by 16:00|")=FIND("|"&amp;R498&amp;"|","|1-5 min|5-15 min|15-60 min|9:30-11:00|11:00-16:00|Not by 16:00|"),"Same window",IF(FIND("|"&amp;Q498&amp;"|","|1-5 min|5-15 min|15-60 min|9:30-11:00|11:00-16:00|Not by 16:00|")&lt;FIND("|"&amp;R498&amp;"|","|1-5 min|5-15 min|15-60 min|9:30-11:00|11:00-16:00|Not by 16:00|"),IF(E498="Up","High first (main side)",IF(E498="Down","High first (wick side)","High first")),IF(E498="Down","Low first (main side)",IF(E498="Up","Low first (wick side)","Low first"))))),"Check entries"))</f>
        <v/>
      </c>
      <c r="X498" s="28" t="n"/>
      <c r="Y498" s="27" t="n"/>
      <c r="Z498" s="27" t="n"/>
      <c r="AA498" s="27" t="n"/>
      <c r="AB498" s="27" t="n"/>
      <c r="AC498" s="27" t="n"/>
      <c r="AD498" s="27" t="n"/>
      <c r="AE498" s="28" t="n"/>
      <c r="AF498" s="30" t="n"/>
      <c r="AG498" s="27" t="n"/>
    </row>
    <row r="499">
      <c r="A499" s="25" t="n"/>
      <c r="B499" s="26">
        <f>IF(ISNUMBER(A499),TEXT(A499,"ddd"),"")</f>
        <v/>
      </c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8" t="n"/>
      <c r="M499" s="26">
        <f>IF(OR(L499="",AND(E499&lt;&gt;"Up",E499&lt;&gt;"Down")),"",IF(OR(L499="In line",L499="Mixed"),"Neutral data",IF(OR(AND(L499="Hotter",E499="Down"),AND(L499="Cooler",E499="Up")),"With data","Against data")))</f>
        <v/>
      </c>
      <c r="N499" s="28" t="n"/>
      <c r="O499" s="27" t="n"/>
      <c r="P499" s="27" t="n"/>
      <c r="Q499" s="28" t="n"/>
      <c r="R499" s="27" t="n"/>
      <c r="S499" s="29" t="n"/>
      <c r="T499" s="27" t="n"/>
      <c r="U499" s="27" t="n"/>
      <c r="V499" s="26">
        <f>IF(OR(AND(E499&lt;&gt;"Up",E499&lt;&gt;"Down"),NOT(ISNUMBER(S499)),IF(E499="Up",Q499,R499)=""),"",IF(S499&gt;=100,"Back to open",IF(OR(IF(E499="Up",Q499,R499)="1-5 min",IF(E499="Up",Q499,R499)="5-15 min"),"Continued",IF(S499&gt;=50,"Partial retrace","Stalled / chop"))))</f>
        <v/>
      </c>
      <c r="W499" s="26">
        <f>IF(OR(Q499="",R499=""),"",IFERROR(IF(AND(Q499="Not by 16:00",R499="Not by 16:00"),"Neither taken",IF(FIND("|"&amp;Q499&amp;"|","|1-5 min|5-15 min|15-60 min|9:30-11:00|11:00-16:00|Not by 16:00|")=FIND("|"&amp;R499&amp;"|","|1-5 min|5-15 min|15-60 min|9:30-11:00|11:00-16:00|Not by 16:00|"),"Same window",IF(FIND("|"&amp;Q499&amp;"|","|1-5 min|5-15 min|15-60 min|9:30-11:00|11:00-16:00|Not by 16:00|")&lt;FIND("|"&amp;R499&amp;"|","|1-5 min|5-15 min|15-60 min|9:30-11:00|11:00-16:00|Not by 16:00|"),IF(E499="Up","High first (main side)",IF(E499="Down","High first (wick side)","High first")),IF(E499="Down","Low first (main side)",IF(E499="Up","Low first (wick side)","Low first"))))),"Check entries"))</f>
        <v/>
      </c>
      <c r="X499" s="28" t="n"/>
      <c r="Y499" s="27" t="n"/>
      <c r="Z499" s="27" t="n"/>
      <c r="AA499" s="27" t="n"/>
      <c r="AB499" s="27" t="n"/>
      <c r="AC499" s="27" t="n"/>
      <c r="AD499" s="27" t="n"/>
      <c r="AE499" s="28" t="n"/>
      <c r="AF499" s="30" t="n"/>
      <c r="AG499" s="27" t="n"/>
    </row>
    <row r="500">
      <c r="A500" s="25" t="n"/>
      <c r="B500" s="26">
        <f>IF(ISNUMBER(A500),TEXT(A500,"ddd"),"")</f>
        <v/>
      </c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8" t="n"/>
      <c r="M500" s="26">
        <f>IF(OR(L500="",AND(E500&lt;&gt;"Up",E500&lt;&gt;"Down")),"",IF(OR(L500="In line",L500="Mixed"),"Neutral data",IF(OR(AND(L500="Hotter",E500="Down"),AND(L500="Cooler",E500="Up")),"With data","Against data")))</f>
        <v/>
      </c>
      <c r="N500" s="28" t="n"/>
      <c r="O500" s="27" t="n"/>
      <c r="P500" s="27" t="n"/>
      <c r="Q500" s="28" t="n"/>
      <c r="R500" s="27" t="n"/>
      <c r="S500" s="29" t="n"/>
      <c r="T500" s="27" t="n"/>
      <c r="U500" s="27" t="n"/>
      <c r="V500" s="26">
        <f>IF(OR(AND(E500&lt;&gt;"Up",E500&lt;&gt;"Down"),NOT(ISNUMBER(S500)),IF(E500="Up",Q500,R500)=""),"",IF(S500&gt;=100,"Back to open",IF(OR(IF(E500="Up",Q500,R500)="1-5 min",IF(E500="Up",Q500,R500)="5-15 min"),"Continued",IF(S500&gt;=50,"Partial retrace","Stalled / chop"))))</f>
        <v/>
      </c>
      <c r="W500" s="26">
        <f>IF(OR(Q500="",R500=""),"",IFERROR(IF(AND(Q500="Not by 16:00",R500="Not by 16:00"),"Neither taken",IF(FIND("|"&amp;Q500&amp;"|","|1-5 min|5-15 min|15-60 min|9:30-11:00|11:00-16:00|Not by 16:00|")=FIND("|"&amp;R500&amp;"|","|1-5 min|5-15 min|15-60 min|9:30-11:00|11:00-16:00|Not by 16:00|"),"Same window",IF(FIND("|"&amp;Q500&amp;"|","|1-5 min|5-15 min|15-60 min|9:30-11:00|11:00-16:00|Not by 16:00|")&lt;FIND("|"&amp;R500&amp;"|","|1-5 min|5-15 min|15-60 min|9:30-11:00|11:00-16:00|Not by 16:00|"),IF(E500="Up","High first (main side)",IF(E500="Down","High first (wick side)","High first")),IF(E500="Down","Low first (main side)",IF(E500="Up","Low first (wick side)","Low first"))))),"Check entries"))</f>
        <v/>
      </c>
      <c r="X500" s="28" t="n"/>
      <c r="Y500" s="27" t="n"/>
      <c r="Z500" s="27" t="n"/>
      <c r="AA500" s="27" t="n"/>
      <c r="AB500" s="27" t="n"/>
      <c r="AC500" s="27" t="n"/>
      <c r="AD500" s="27" t="n"/>
      <c r="AE500" s="28" t="n"/>
      <c r="AF500" s="30" t="n"/>
      <c r="AG500" s="27" t="n"/>
    </row>
    <row r="501">
      <c r="A501" s="25" t="n"/>
      <c r="B501" s="26">
        <f>IF(ISNUMBER(A501),TEXT(A501,"ddd"),"")</f>
        <v/>
      </c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8" t="n"/>
      <c r="M501" s="26">
        <f>IF(OR(L501="",AND(E501&lt;&gt;"Up",E501&lt;&gt;"Down")),"",IF(OR(L501="In line",L501="Mixed"),"Neutral data",IF(OR(AND(L501="Hotter",E501="Down"),AND(L501="Cooler",E501="Up")),"With data","Against data")))</f>
        <v/>
      </c>
      <c r="N501" s="28" t="n"/>
      <c r="O501" s="27" t="n"/>
      <c r="P501" s="27" t="n"/>
      <c r="Q501" s="28" t="n"/>
      <c r="R501" s="27" t="n"/>
      <c r="S501" s="29" t="n"/>
      <c r="T501" s="27" t="n"/>
      <c r="U501" s="27" t="n"/>
      <c r="V501" s="26">
        <f>IF(OR(AND(E501&lt;&gt;"Up",E501&lt;&gt;"Down"),NOT(ISNUMBER(S501)),IF(E501="Up",Q501,R501)=""),"",IF(S501&gt;=100,"Back to open",IF(OR(IF(E501="Up",Q501,R501)="1-5 min",IF(E501="Up",Q501,R501)="5-15 min"),"Continued",IF(S501&gt;=50,"Partial retrace","Stalled / chop"))))</f>
        <v/>
      </c>
      <c r="W501" s="26">
        <f>IF(OR(Q501="",R501=""),"",IFERROR(IF(AND(Q501="Not by 16:00",R501="Not by 16:00"),"Neither taken",IF(FIND("|"&amp;Q501&amp;"|","|1-5 min|5-15 min|15-60 min|9:30-11:00|11:00-16:00|Not by 16:00|")=FIND("|"&amp;R501&amp;"|","|1-5 min|5-15 min|15-60 min|9:30-11:00|11:00-16:00|Not by 16:00|"),"Same window",IF(FIND("|"&amp;Q501&amp;"|","|1-5 min|5-15 min|15-60 min|9:30-11:00|11:00-16:00|Not by 16:00|")&lt;FIND("|"&amp;R501&amp;"|","|1-5 min|5-15 min|15-60 min|9:30-11:00|11:00-16:00|Not by 16:00|"),IF(E501="Up","High first (main side)",IF(E501="Down","High first (wick side)","High first")),IF(E501="Down","Low first (main side)",IF(E501="Up","Low first (wick side)","Low first"))))),"Check entries"))</f>
        <v/>
      </c>
      <c r="X501" s="28" t="n"/>
      <c r="Y501" s="27" t="n"/>
      <c r="Z501" s="27" t="n"/>
      <c r="AA501" s="27" t="n"/>
      <c r="AB501" s="27" t="n"/>
      <c r="AC501" s="27" t="n"/>
      <c r="AD501" s="27" t="n"/>
      <c r="AE501" s="28" t="n"/>
      <c r="AF501" s="30" t="n"/>
      <c r="AG501" s="27" t="n"/>
    </row>
    <row r="502">
      <c r="A502" s="25" t="n"/>
      <c r="B502" s="26">
        <f>IF(ISNUMBER(A502),TEXT(A502,"ddd"),"")</f>
        <v/>
      </c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8" t="n"/>
      <c r="M502" s="26">
        <f>IF(OR(L502="",AND(E502&lt;&gt;"Up",E502&lt;&gt;"Down")),"",IF(OR(L502="In line",L502="Mixed"),"Neutral data",IF(OR(AND(L502="Hotter",E502="Down"),AND(L502="Cooler",E502="Up")),"With data","Against data")))</f>
        <v/>
      </c>
      <c r="N502" s="28" t="n"/>
      <c r="O502" s="27" t="n"/>
      <c r="P502" s="27" t="n"/>
      <c r="Q502" s="28" t="n"/>
      <c r="R502" s="27" t="n"/>
      <c r="S502" s="29" t="n"/>
      <c r="T502" s="27" t="n"/>
      <c r="U502" s="27" t="n"/>
      <c r="V502" s="26">
        <f>IF(OR(AND(E502&lt;&gt;"Up",E502&lt;&gt;"Down"),NOT(ISNUMBER(S502)),IF(E502="Up",Q502,R502)=""),"",IF(S502&gt;=100,"Back to open",IF(OR(IF(E502="Up",Q502,R502)="1-5 min",IF(E502="Up",Q502,R502)="5-15 min"),"Continued",IF(S502&gt;=50,"Partial retrace","Stalled / chop"))))</f>
        <v/>
      </c>
      <c r="W502" s="26">
        <f>IF(OR(Q502="",R502=""),"",IFERROR(IF(AND(Q502="Not by 16:00",R502="Not by 16:00"),"Neither taken",IF(FIND("|"&amp;Q502&amp;"|","|1-5 min|5-15 min|15-60 min|9:30-11:00|11:00-16:00|Not by 16:00|")=FIND("|"&amp;R502&amp;"|","|1-5 min|5-15 min|15-60 min|9:30-11:00|11:00-16:00|Not by 16:00|"),"Same window",IF(FIND("|"&amp;Q502&amp;"|","|1-5 min|5-15 min|15-60 min|9:30-11:00|11:00-16:00|Not by 16:00|")&lt;FIND("|"&amp;R502&amp;"|","|1-5 min|5-15 min|15-60 min|9:30-11:00|11:00-16:00|Not by 16:00|"),IF(E502="Up","High first (main side)",IF(E502="Down","High first (wick side)","High first")),IF(E502="Down","Low first (main side)",IF(E502="Up","Low first (wick side)","Low first"))))),"Check entries"))</f>
        <v/>
      </c>
      <c r="X502" s="28" t="n"/>
      <c r="Y502" s="27" t="n"/>
      <c r="Z502" s="27" t="n"/>
      <c r="AA502" s="27" t="n"/>
      <c r="AB502" s="27" t="n"/>
      <c r="AC502" s="27" t="n"/>
      <c r="AD502" s="27" t="n"/>
      <c r="AE502" s="28" t="n"/>
      <c r="AF502" s="30" t="n"/>
      <c r="AG502" s="27" t="n"/>
    </row>
    <row r="503">
      <c r="A503" s="25" t="n"/>
      <c r="B503" s="26">
        <f>IF(ISNUMBER(A503),TEXT(A503,"ddd"),"")</f>
        <v/>
      </c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8" t="n"/>
      <c r="M503" s="26">
        <f>IF(OR(L503="",AND(E503&lt;&gt;"Up",E503&lt;&gt;"Down")),"",IF(OR(L503="In line",L503="Mixed"),"Neutral data",IF(OR(AND(L503="Hotter",E503="Down"),AND(L503="Cooler",E503="Up")),"With data","Against data")))</f>
        <v/>
      </c>
      <c r="N503" s="28" t="n"/>
      <c r="O503" s="27" t="n"/>
      <c r="P503" s="27" t="n"/>
      <c r="Q503" s="28" t="n"/>
      <c r="R503" s="27" t="n"/>
      <c r="S503" s="29" t="n"/>
      <c r="T503" s="27" t="n"/>
      <c r="U503" s="27" t="n"/>
      <c r="V503" s="26">
        <f>IF(OR(AND(E503&lt;&gt;"Up",E503&lt;&gt;"Down"),NOT(ISNUMBER(S503)),IF(E503="Up",Q503,R503)=""),"",IF(S503&gt;=100,"Back to open",IF(OR(IF(E503="Up",Q503,R503)="1-5 min",IF(E503="Up",Q503,R503)="5-15 min"),"Continued",IF(S503&gt;=50,"Partial retrace","Stalled / chop"))))</f>
        <v/>
      </c>
      <c r="W503" s="26">
        <f>IF(OR(Q503="",R503=""),"",IFERROR(IF(AND(Q503="Not by 16:00",R503="Not by 16:00"),"Neither taken",IF(FIND("|"&amp;Q503&amp;"|","|1-5 min|5-15 min|15-60 min|9:30-11:00|11:00-16:00|Not by 16:00|")=FIND("|"&amp;R503&amp;"|","|1-5 min|5-15 min|15-60 min|9:30-11:00|11:00-16:00|Not by 16:00|"),"Same window",IF(FIND("|"&amp;Q503&amp;"|","|1-5 min|5-15 min|15-60 min|9:30-11:00|11:00-16:00|Not by 16:00|")&lt;FIND("|"&amp;R503&amp;"|","|1-5 min|5-15 min|15-60 min|9:30-11:00|11:00-16:00|Not by 16:00|"),IF(E503="Up","High first (main side)",IF(E503="Down","High first (wick side)","High first")),IF(E503="Down","Low first (main side)",IF(E503="Up","Low first (wick side)","Low first"))))),"Check entries"))</f>
        <v/>
      </c>
      <c r="X503" s="28" t="n"/>
      <c r="Y503" s="27" t="n"/>
      <c r="Z503" s="27" t="n"/>
      <c r="AA503" s="27" t="n"/>
      <c r="AB503" s="27" t="n"/>
      <c r="AC503" s="27" t="n"/>
      <c r="AD503" s="27" t="n"/>
      <c r="AE503" s="28" t="n"/>
      <c r="AF503" s="30" t="n"/>
      <c r="AG503" s="27" t="n"/>
    </row>
  </sheetData>
  <mergeCells count="7">
    <mergeCell ref="C1:K1"/>
    <mergeCell ref="AE1:AG1"/>
    <mergeCell ref="L1:M1"/>
    <mergeCell ref="N1:P1"/>
    <mergeCell ref="Q1:W1"/>
    <mergeCell ref="A1:B1"/>
    <mergeCell ref="X1:AD1"/>
  </mergeCells>
  <conditionalFormatting sqref="C4:C503">
    <cfRule type="cellIs" priority="1" operator="equal" dxfId="0">
      <formula>"Up"</formula>
    </cfRule>
    <cfRule type="cellIs" priority="2" operator="equal" dxfId="1">
      <formula>"Down"</formula>
    </cfRule>
  </conditionalFormatting>
  <conditionalFormatting sqref="E4:E503">
    <cfRule type="cellIs" priority="3" operator="equal" dxfId="0">
      <formula>"Up"</formula>
    </cfRule>
    <cfRule type="cellIs" priority="4" operator="equal" dxfId="1">
      <formula>"Down"</formula>
    </cfRule>
  </conditionalFormatting>
  <conditionalFormatting sqref="I4:I503">
    <cfRule type="cellIs" priority="5" operator="equal" dxfId="0">
      <formula>"TP"</formula>
    </cfRule>
    <cfRule type="cellIs" priority="6" operator="equal" dxfId="1">
      <formula>"SL"</formula>
    </cfRule>
    <cfRule type="cellIs" priority="7" operator="equal" dxfId="2">
      <formula>"BE"</formula>
    </cfRule>
  </conditionalFormatting>
  <conditionalFormatting sqref="M4:M503">
    <cfRule type="cellIs" priority="8" operator="equal" dxfId="3">
      <formula>"With data"</formula>
    </cfRule>
    <cfRule type="cellIs" priority="9" operator="equal" dxfId="4">
      <formula>"Against data"</formula>
    </cfRule>
  </conditionalFormatting>
  <conditionalFormatting sqref="V4:V503">
    <cfRule type="cellIs" priority="10" operator="equal" dxfId="0">
      <formula>"Continued"</formula>
    </cfRule>
    <cfRule type="cellIs" priority="11" operator="equal" dxfId="1">
      <formula>"Back to open"</formula>
    </cfRule>
    <cfRule type="cellIs" priority="12" operator="equal" dxfId="2">
      <formula>"Partial retrace"</formula>
    </cfRule>
    <cfRule type="cellIs" priority="13" operator="equal" dxfId="5">
      <formula>"Stalled / chop"</formula>
    </cfRule>
  </conditionalFormatting>
  <conditionalFormatting sqref="W4:W503">
    <cfRule type="expression" priority="14" dxfId="0">
      <formula>ISNUMBER(SEARCH("main side",W4))</formula>
    </cfRule>
    <cfRule type="expression" priority="15" dxfId="1">
      <formula>ISNUMBER(SEARCH("wick side",W4))</formula>
    </cfRule>
  </conditionalFormatting>
  <conditionalFormatting sqref="AF4:AF503">
    <cfRule type="cellIs" priority="16" operator="greaterThan" dxfId="0">
      <formula>0</formula>
    </cfRule>
    <cfRule type="cellIs" priority="17" operator="lessThan" dxfId="1">
      <formula>0</formula>
    </cfRule>
  </conditionalFormatting>
  <dataValidations count="21">
    <dataValidation sqref="C4:C503" showDropDown="0" showInputMessage="0" showErrorMessage="1" allowBlank="1" errorTitle="Wick" error="Pick a value from the dropdown list." type="list" errorStyle="stop">
      <formula1>"Up,Down,No Wick"</formula1>
    </dataValidation>
    <dataValidation sqref="E4:E503" showDropDown="0" showInputMessage="0" showErrorMessage="1" allowBlank="1" errorTitle="Main Move" error="Pick a value from the dropdown list." type="list" errorStyle="stop">
      <formula1>"Up,Down"</formula1>
    </dataValidation>
    <dataValidation sqref="I4:I503" showDropDown="0" showInputMessage="0" showErrorMessage="1" allowBlank="1" errorTitle="Straddle" error="Pick a value from the dropdown list." type="list" errorStyle="stop">
      <formula1>"TP,SL,BE,N/A"</formula1>
    </dataValidation>
    <dataValidation sqref="L4:L503" showDropDown="0" showInputMessage="0" showErrorMessage="1" allowBlank="1" errorTitle="CPI vs forecast" error="Pick a value from the dropdown list." type="list" errorStyle="stop">
      <formula1>"Hotter,Cooler,In line,Mixed"</formula1>
    </dataValidation>
    <dataValidation sqref="N4:N503" showDropDown="0" showInputMessage="0" showErrorMessage="1" allowBlank="1" errorTitle="1m candle close" error="Pick a value from the dropdown list." type="list" errorStyle="stop">
      <formula1>"Top,Middle,Bottom"</formula1>
    </dataValidation>
    <dataValidation sqref="O4:O503" showDropDown="0" showInputMessage="0" showErrorMessage="1" allowBlank="1" errorTitle="5m candle close" error="Pick a value from the dropdown list." type="list" errorStyle="stop">
      <formula1>"Top,Middle,Bottom"</formula1>
    </dataValidation>
    <dataValidation sqref="P4:P503" showDropDown="0" showInputMessage="0" showErrorMessage="1" allowBlank="1" errorTitle="15m candle close" error="Pick a value from the dropdown list." type="list" errorStyle="stop">
      <formula1>"Top,Middle,Bottom"</formula1>
    </dataValidation>
    <dataValidation sqref="Q4:Q503" showDropDown="0" showInputMessage="0" showErrorMessage="1" allowBlank="1" errorTitle="1-min HIGH taken (BSL) – when?" error="Pick a value from the dropdown list." type="list" errorStyle="stop">
      <formula1>"1-5 min,5-15 min,15-60 min,9:30-11:00,11:00-16:00,Not by 16:00"</formula1>
    </dataValidation>
    <dataValidation sqref="R4:R503" showDropDown="0" showInputMessage="0" showErrorMessage="1" allowBlank="1" errorTitle="1-min LOW taken (SSL) – when?" error="Pick a value from the dropdown list." type="list" errorStyle="stop">
      <formula1>"1-5 min,5-15 min,15-60 min,9:30-11:00,11:00-16:00,Not by 16:00"</formula1>
    </dataValidation>
    <dataValidation sqref="T4:T503" showDropDown="0" showInputMessage="0" showErrorMessage="1" allowBlank="1" errorTitle="Back to 8:30 open – when?" error="Pick a value from the dropdown list." type="list" errorStyle="stop">
      <formula1>"0-15 sec,15-30 sec,30-60 sec,1-5 min,5-15 min,15-60 min,9:30-11:00,11:00-16:00,Not by 16:00"</formula1>
    </dataValidation>
    <dataValidation sqref="U4:U503" showDropDown="0" showInputMessage="0" showErrorMessage="1" allowBlank="1" errorTitle="At the open, price…" error="Pick a value from the dropdown list." type="list" errorStyle="stop">
      <formula1>"Swept &amp; resumed,Broke through,Chopped around,Never came back"</formula1>
    </dataValidation>
    <dataValidation sqref="X4:X503" showDropDown="0" showInputMessage="0" showErrorMessage="1" allowBlank="1" errorTitle="Daily bias (before 8:30)" error="Pick a value from the dropdown list." type="list" errorStyle="stop">
      <formula1>"Bullish,Bearish,No bias"</formula1>
    </dataValidation>
    <dataValidation sqref="Y4:Y503" showDropDown="0" showInputMessage="0" showErrorMessage="1" allowBlank="1" errorTitle="8:30 open vs Midnight open" error="Pick a value from the dropdown list." type="list" errorStyle="stop">
      <formula1>"Above (premium),Below (discount)"</formula1>
    </dataValidation>
    <dataValidation sqref="Z4:Z503" showDropDown="0" showInputMessage="0" showErrorMessage="1" allowBlank="1" errorTitle="Liquidity taken by wick" error="Pick a value from the dropdown list." type="list" errorStyle="stop">
      <formula1>"None,Pre-news high/low,Asia high/low,London high/low,Prev day high/low,Prev week high/low"</formula1>
    </dataValidation>
    <dataValidation sqref="AA4:AA503" showDropDown="0" showInputMessage="0" showErrorMessage="1" allowBlank="1" errorTitle="Liquidity taken by main move (by" error="Pick a value from the dropdown list." type="list" errorStyle="stop">
      <formula1>"None,Pre-news high/low,Asia high/low,London high/low,Prev day high/low,Prev week high/low"</formula1>
    </dataValidation>
    <dataValidation sqref="AB4:AB503" showDropDown="0" showInputMessage="0" showErrorMessage="1" allowBlank="1" errorTitle="HTF PD array at extreme (optiona" error="Pick a value from the dropdown list." type="list" errorStyle="stop">
      <formula1>"No,FVG,Order block,Breaker,Other"</formula1>
    </dataValidation>
    <dataValidation sqref="AC4:AC503" showDropDown="0" showInputMessage="0" showErrorMessage="1" allowBlank="1" errorTitle="1m FVG from main move" error="Pick a value from the dropdown list." type="list" errorStyle="stop">
      <formula1>"No FVG,Never came back,Came back &amp; held,Came back &amp; failed (IFVG)"</formula1>
    </dataValidation>
    <dataValidation sqref="AD4:AD503" showDropDown="0" showInputMessage="0" showErrorMessage="1" allowBlank="1" errorTitle="SMT with ES (optional)" error="Pick a value from the dropdown list." type="list" errorStyle="stop">
      <formula1>"Yes,No,Not checked"</formula1>
    </dataValidation>
    <dataValidation sqref="AE4:AE503" showDropDown="0" showInputMessage="0" showErrorMessage="1" allowBlank="1" errorTitle="Setup" error="Pick a value from the dropdown list." type="list" errorStyle="stop">
      <formula1>"None,A Continuation,B Reversal,C Open sweep,D 9:30-11:00 raid"</formula1>
    </dataValidation>
    <dataValidation sqref="S4:S503" showDropDown="0" showInputMessage="0" showErrorMessage="1" allowBlank="1" errorTitle="Deepest pullback %" error="Type just the number, e.g. 62 for 62% (no % sign). 0 = no pullback, 100 = back to the 8:30 open." type="custom" errorStyle="stop">
      <formula1>AND(ISNUMBER(S4),OR(S4=0,AND(S4&gt;=1,S4&lt;=1000)))</formula1>
    </dataValidation>
    <dataValidation sqref="AF4:AF503" showDropDown="0" showInputMessage="0" showErrorMessage="1" allowBlank="1" errorTitle="Result (R)" error="Type the result in R, e.g. 2 or -1 (a number between -50 and 50)." type="decimal" errorStyle="stop" operator="between">
      <formula1>-50</formula1>
      <formula2>50</formula2>
    </dataValidation>
  </dataValidation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G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1" t="inlineStr">
        <is>
          <t>CPI $NQ – STATS (updates automatically from the CPI Log tab)</t>
        </is>
      </c>
    </row>
    <row r="2">
      <c r="A2" s="32" t="inlineStr">
        <is>
          <t>Only rows you have filled are counted. '–' = no data yet. Small samples lie: look at n before trusting a %.</t>
        </is>
      </c>
    </row>
    <row r="3">
      <c r="A3" s="33" t="inlineStr">
        <is>
          <t>Count releases from</t>
        </is>
      </c>
      <c r="C3" s="34" t="n">
        <v>43831</v>
      </c>
      <c r="D3" s="35" t="inlineStr">
        <is>
          <t>to</t>
        </is>
      </c>
      <c r="E3" s="34">
        <f>TODAY()</f>
        <v/>
      </c>
      <c r="F3" s="36" t="inlineStr">
        <is>
          <t>← change these dates to test a period (e.g. 2023 onwards)</t>
        </is>
      </c>
    </row>
    <row r="4">
      <c r="A4" s="33" t="inlineStr">
        <is>
          <t>Releases in this period</t>
        </is>
      </c>
      <c r="C4" s="35">
        <f>COUNTIFS('CPI Log'!$A$4:$A$1000,"&gt;="&amp;$C$3,'CPI Log'!$A$4:$A$1000,"&lt;="&amp;$E$3)</f>
        <v/>
      </c>
      <c r="D4" s="37" t="inlineStr">
        <is>
          <t>with an Outcome:</t>
        </is>
      </c>
      <c r="E4" s="35">
        <f>COUNTIFS('CPI Log'!$A$4:$A$1000,"&gt;="&amp;$C$3,'CPI Log'!$A$4:$A$1000,"&lt;="&amp;$E$3,'CPI Log'!$V$4:$V$1000,"Continued")+COUNTIFS('CPI Log'!$A$4:$A$1000,"&gt;="&amp;$C$3,'CPI Log'!$A$4:$A$1000,"&lt;="&amp;$E$3,'CPI Log'!$V$4:$V$1000,"Back to open")+COUNTIFS('CPI Log'!$A$4:$A$1000,"&gt;="&amp;$C$3,'CPI Log'!$A$4:$A$1000,"&lt;="&amp;$E$3,'CPI Log'!$V$4:$V$1000,"Partial retrace")+COUNTIFS('CPI Log'!$A$4:$A$1000,"&gt;="&amp;$C$3,'CPI Log'!$A$4:$A$1000,"&lt;="&amp;$E$3,'CPI Log'!$V$4:$V$1000,"Stalled / chop")</f>
        <v/>
      </c>
    </row>
    <row r="6" ht="20" customHeight="1">
      <c r="A6" s="38" t="inlineStr">
        <is>
          <t>1 · What did the main move do after the 1st minute? (Outcome 8:31–8:45)</t>
        </is>
      </c>
    </row>
    <row r="7" ht="26" customHeight="1">
      <c r="A7" s="39" t="inlineStr">
        <is>
          <t>Read across: e.g. 'when CPI was Hotter, the main move went back to the 8:30 open X% of the time'.</t>
        </is>
      </c>
    </row>
    <row r="8" ht="30" customHeight="1">
      <c r="A8" s="40" t="inlineStr">
        <is>
          <t>Outcome</t>
        </is>
      </c>
      <c r="B8" s="41" t="inlineStr">
        <is>
          <t>All</t>
        </is>
      </c>
      <c r="C8" s="41" t="inlineStr">
        <is>
          <t>Hotter</t>
        </is>
      </c>
      <c r="D8" s="41" t="inlineStr">
        <is>
          <t>Cooler</t>
        </is>
      </c>
      <c r="E8" s="41" t="inlineStr">
        <is>
          <t>In line</t>
        </is>
      </c>
      <c r="F8" s="41" t="inlineStr">
        <is>
          <t>Mixed</t>
        </is>
      </c>
    </row>
    <row r="9">
      <c r="A9" s="42" t="inlineStr">
        <is>
          <t>Continued</t>
        </is>
      </c>
      <c r="B9" s="43">
        <f>IFERROR((COUNTIFS('CPI Log'!$A$4:$A$1000,"&gt;="&amp;$C$3,'CPI Log'!$A$4:$A$1000,"&lt;="&amp;$E$3,'CPI Log'!$V$4:$V$1000,$A9))/(B$13),"–")</f>
        <v/>
      </c>
      <c r="C9" s="43">
        <f>IFERROR((COUNTIFS('CPI Log'!$A$4:$A$1000,"&gt;="&amp;$C$3,'CPI Log'!$A$4:$A$1000,"&lt;="&amp;$E$3,'CPI Log'!$V$4:$V$1000,$A9,'CPI Log'!$L$4:$L$1000,"Hotter"))/(C$13),"–")</f>
        <v/>
      </c>
      <c r="D9" s="43">
        <f>IFERROR((COUNTIFS('CPI Log'!$A$4:$A$1000,"&gt;="&amp;$C$3,'CPI Log'!$A$4:$A$1000,"&lt;="&amp;$E$3,'CPI Log'!$V$4:$V$1000,$A9,'CPI Log'!$L$4:$L$1000,"Cooler"))/(D$13),"–")</f>
        <v/>
      </c>
      <c r="E9" s="43">
        <f>IFERROR((COUNTIFS('CPI Log'!$A$4:$A$1000,"&gt;="&amp;$C$3,'CPI Log'!$A$4:$A$1000,"&lt;="&amp;$E$3,'CPI Log'!$V$4:$V$1000,$A9,'CPI Log'!$L$4:$L$1000,"In line"))/(E$13),"–")</f>
        <v/>
      </c>
      <c r="F9" s="43">
        <f>IFERROR((COUNTIFS('CPI Log'!$A$4:$A$1000,"&gt;="&amp;$C$3,'CPI Log'!$A$4:$A$1000,"&lt;="&amp;$E$3,'CPI Log'!$V$4:$V$1000,$A9,'CPI Log'!$L$4:$L$1000,"Mixed"))/(F$13),"–")</f>
        <v/>
      </c>
    </row>
    <row r="10">
      <c r="A10" s="42" t="inlineStr">
        <is>
          <t>Back to open</t>
        </is>
      </c>
      <c r="B10" s="43">
        <f>IFERROR((COUNTIFS('CPI Log'!$A$4:$A$1000,"&gt;="&amp;$C$3,'CPI Log'!$A$4:$A$1000,"&lt;="&amp;$E$3,'CPI Log'!$V$4:$V$1000,$A10))/(B$13),"–")</f>
        <v/>
      </c>
      <c r="C10" s="43">
        <f>IFERROR((COUNTIFS('CPI Log'!$A$4:$A$1000,"&gt;="&amp;$C$3,'CPI Log'!$A$4:$A$1000,"&lt;="&amp;$E$3,'CPI Log'!$V$4:$V$1000,$A10,'CPI Log'!$L$4:$L$1000,"Hotter"))/(C$13),"–")</f>
        <v/>
      </c>
      <c r="D10" s="43">
        <f>IFERROR((COUNTIFS('CPI Log'!$A$4:$A$1000,"&gt;="&amp;$C$3,'CPI Log'!$A$4:$A$1000,"&lt;="&amp;$E$3,'CPI Log'!$V$4:$V$1000,$A10,'CPI Log'!$L$4:$L$1000,"Cooler"))/(D$13),"–")</f>
        <v/>
      </c>
      <c r="E10" s="43">
        <f>IFERROR((COUNTIFS('CPI Log'!$A$4:$A$1000,"&gt;="&amp;$C$3,'CPI Log'!$A$4:$A$1000,"&lt;="&amp;$E$3,'CPI Log'!$V$4:$V$1000,$A10,'CPI Log'!$L$4:$L$1000,"In line"))/(E$13),"–")</f>
        <v/>
      </c>
      <c r="F10" s="43">
        <f>IFERROR((COUNTIFS('CPI Log'!$A$4:$A$1000,"&gt;="&amp;$C$3,'CPI Log'!$A$4:$A$1000,"&lt;="&amp;$E$3,'CPI Log'!$V$4:$V$1000,$A10,'CPI Log'!$L$4:$L$1000,"Mixed"))/(F$13),"–")</f>
        <v/>
      </c>
    </row>
    <row r="11">
      <c r="A11" s="42" t="inlineStr">
        <is>
          <t>Partial retrace</t>
        </is>
      </c>
      <c r="B11" s="43">
        <f>IFERROR((COUNTIFS('CPI Log'!$A$4:$A$1000,"&gt;="&amp;$C$3,'CPI Log'!$A$4:$A$1000,"&lt;="&amp;$E$3,'CPI Log'!$V$4:$V$1000,$A11))/(B$13),"–")</f>
        <v/>
      </c>
      <c r="C11" s="43">
        <f>IFERROR((COUNTIFS('CPI Log'!$A$4:$A$1000,"&gt;="&amp;$C$3,'CPI Log'!$A$4:$A$1000,"&lt;="&amp;$E$3,'CPI Log'!$V$4:$V$1000,$A11,'CPI Log'!$L$4:$L$1000,"Hotter"))/(C$13),"–")</f>
        <v/>
      </c>
      <c r="D11" s="43">
        <f>IFERROR((COUNTIFS('CPI Log'!$A$4:$A$1000,"&gt;="&amp;$C$3,'CPI Log'!$A$4:$A$1000,"&lt;="&amp;$E$3,'CPI Log'!$V$4:$V$1000,$A11,'CPI Log'!$L$4:$L$1000,"Cooler"))/(D$13),"–")</f>
        <v/>
      </c>
      <c r="E11" s="43">
        <f>IFERROR((COUNTIFS('CPI Log'!$A$4:$A$1000,"&gt;="&amp;$C$3,'CPI Log'!$A$4:$A$1000,"&lt;="&amp;$E$3,'CPI Log'!$V$4:$V$1000,$A11,'CPI Log'!$L$4:$L$1000,"In line"))/(E$13),"–")</f>
        <v/>
      </c>
      <c r="F11" s="43">
        <f>IFERROR((COUNTIFS('CPI Log'!$A$4:$A$1000,"&gt;="&amp;$C$3,'CPI Log'!$A$4:$A$1000,"&lt;="&amp;$E$3,'CPI Log'!$V$4:$V$1000,$A11,'CPI Log'!$L$4:$L$1000,"Mixed"))/(F$13),"–")</f>
        <v/>
      </c>
    </row>
    <row r="12">
      <c r="A12" s="42" t="inlineStr">
        <is>
          <t>Stalled / chop</t>
        </is>
      </c>
      <c r="B12" s="43">
        <f>IFERROR((COUNTIFS('CPI Log'!$A$4:$A$1000,"&gt;="&amp;$C$3,'CPI Log'!$A$4:$A$1000,"&lt;="&amp;$E$3,'CPI Log'!$V$4:$V$1000,$A12))/(B$13),"–")</f>
        <v/>
      </c>
      <c r="C12" s="43">
        <f>IFERROR((COUNTIFS('CPI Log'!$A$4:$A$1000,"&gt;="&amp;$C$3,'CPI Log'!$A$4:$A$1000,"&lt;="&amp;$E$3,'CPI Log'!$V$4:$V$1000,$A12,'CPI Log'!$L$4:$L$1000,"Hotter"))/(C$13),"–")</f>
        <v/>
      </c>
      <c r="D12" s="43">
        <f>IFERROR((COUNTIFS('CPI Log'!$A$4:$A$1000,"&gt;="&amp;$C$3,'CPI Log'!$A$4:$A$1000,"&lt;="&amp;$E$3,'CPI Log'!$V$4:$V$1000,$A12,'CPI Log'!$L$4:$L$1000,"Cooler"))/(D$13),"–")</f>
        <v/>
      </c>
      <c r="E12" s="43">
        <f>IFERROR((COUNTIFS('CPI Log'!$A$4:$A$1000,"&gt;="&amp;$C$3,'CPI Log'!$A$4:$A$1000,"&lt;="&amp;$E$3,'CPI Log'!$V$4:$V$1000,$A12,'CPI Log'!$L$4:$L$1000,"In line"))/(E$13),"–")</f>
        <v/>
      </c>
      <c r="F12" s="43">
        <f>IFERROR((COUNTIFS('CPI Log'!$A$4:$A$1000,"&gt;="&amp;$C$3,'CPI Log'!$A$4:$A$1000,"&lt;="&amp;$E$3,'CPI Log'!$V$4:$V$1000,$A12,'CPI Log'!$L$4:$L$1000,"Mixed"))/(F$13),"–")</f>
        <v/>
      </c>
    </row>
    <row r="13">
      <c r="A13" s="44" t="inlineStr">
        <is>
          <t>n (releases)</t>
        </is>
      </c>
      <c r="B13" s="45">
        <f>COUNTIFS('CPI Log'!$A$4:$A$1000,"&gt;="&amp;$C$3,'CPI Log'!$A$4:$A$1000,"&lt;="&amp;$E$3,'CPI Log'!$V$4:$V$1000,"Continued")+COUNTIFS('CPI Log'!$A$4:$A$1000,"&gt;="&amp;$C$3,'CPI Log'!$A$4:$A$1000,"&lt;="&amp;$E$3,'CPI Log'!$V$4:$V$1000,"Back to open")+COUNTIFS('CPI Log'!$A$4:$A$1000,"&gt;="&amp;$C$3,'CPI Log'!$A$4:$A$1000,"&lt;="&amp;$E$3,'CPI Log'!$V$4:$V$1000,"Partial retrace")+COUNTIFS('CPI Log'!$A$4:$A$1000,"&gt;="&amp;$C$3,'CPI Log'!$A$4:$A$1000,"&lt;="&amp;$E$3,'CPI Log'!$V$4:$V$1000,"Stalled / chop")</f>
        <v/>
      </c>
      <c r="C13" s="45">
        <f>COUNTIFS('CPI Log'!$A$4:$A$1000,"&gt;="&amp;$C$3,'CPI Log'!$A$4:$A$1000,"&lt;="&amp;$E$3,'CPI Log'!$V$4:$V$1000,"Continued",'CPI Log'!$L$4:$L$1000,"Hotter")+COUNTIFS('CPI Log'!$A$4:$A$1000,"&gt;="&amp;$C$3,'CPI Log'!$A$4:$A$1000,"&lt;="&amp;$E$3,'CPI Log'!$V$4:$V$1000,"Back to open",'CPI Log'!$L$4:$L$1000,"Hotter")+COUNTIFS('CPI Log'!$A$4:$A$1000,"&gt;="&amp;$C$3,'CPI Log'!$A$4:$A$1000,"&lt;="&amp;$E$3,'CPI Log'!$V$4:$V$1000,"Partial retrace",'CPI Log'!$L$4:$L$1000,"Hotter")+COUNTIFS('CPI Log'!$A$4:$A$1000,"&gt;="&amp;$C$3,'CPI Log'!$A$4:$A$1000,"&lt;="&amp;$E$3,'CPI Log'!$V$4:$V$1000,"Stalled / chop",'CPI Log'!$L$4:$L$1000,"Hotter")</f>
        <v/>
      </c>
      <c r="D13" s="45">
        <f>COUNTIFS('CPI Log'!$A$4:$A$1000,"&gt;="&amp;$C$3,'CPI Log'!$A$4:$A$1000,"&lt;="&amp;$E$3,'CPI Log'!$V$4:$V$1000,"Continued",'CPI Log'!$L$4:$L$1000,"Cooler")+COUNTIFS('CPI Log'!$A$4:$A$1000,"&gt;="&amp;$C$3,'CPI Log'!$A$4:$A$1000,"&lt;="&amp;$E$3,'CPI Log'!$V$4:$V$1000,"Back to open",'CPI Log'!$L$4:$L$1000,"Cooler")+COUNTIFS('CPI Log'!$A$4:$A$1000,"&gt;="&amp;$C$3,'CPI Log'!$A$4:$A$1000,"&lt;="&amp;$E$3,'CPI Log'!$V$4:$V$1000,"Partial retrace",'CPI Log'!$L$4:$L$1000,"Cooler")+COUNTIFS('CPI Log'!$A$4:$A$1000,"&gt;="&amp;$C$3,'CPI Log'!$A$4:$A$1000,"&lt;="&amp;$E$3,'CPI Log'!$V$4:$V$1000,"Stalled / chop",'CPI Log'!$L$4:$L$1000,"Cooler")</f>
        <v/>
      </c>
      <c r="E13" s="45">
        <f>COUNTIFS('CPI Log'!$A$4:$A$1000,"&gt;="&amp;$C$3,'CPI Log'!$A$4:$A$1000,"&lt;="&amp;$E$3,'CPI Log'!$V$4:$V$1000,"Continued",'CPI Log'!$L$4:$L$1000,"In line")+COUNTIFS('CPI Log'!$A$4:$A$1000,"&gt;="&amp;$C$3,'CPI Log'!$A$4:$A$1000,"&lt;="&amp;$E$3,'CPI Log'!$V$4:$V$1000,"Back to open",'CPI Log'!$L$4:$L$1000,"In line")+COUNTIFS('CPI Log'!$A$4:$A$1000,"&gt;="&amp;$C$3,'CPI Log'!$A$4:$A$1000,"&lt;="&amp;$E$3,'CPI Log'!$V$4:$V$1000,"Partial retrace",'CPI Log'!$L$4:$L$1000,"In line")+COUNTIFS('CPI Log'!$A$4:$A$1000,"&gt;="&amp;$C$3,'CPI Log'!$A$4:$A$1000,"&lt;="&amp;$E$3,'CPI Log'!$V$4:$V$1000,"Stalled / chop",'CPI Log'!$L$4:$L$1000,"In line")</f>
        <v/>
      </c>
      <c r="F13" s="45">
        <f>COUNTIFS('CPI Log'!$A$4:$A$1000,"&gt;="&amp;$C$3,'CPI Log'!$A$4:$A$1000,"&lt;="&amp;$E$3,'CPI Log'!$V$4:$V$1000,"Continued",'CPI Log'!$L$4:$L$1000,"Mixed")+COUNTIFS('CPI Log'!$A$4:$A$1000,"&gt;="&amp;$C$3,'CPI Log'!$A$4:$A$1000,"&lt;="&amp;$E$3,'CPI Log'!$V$4:$V$1000,"Back to open",'CPI Log'!$L$4:$L$1000,"Mixed")+COUNTIFS('CPI Log'!$A$4:$A$1000,"&gt;="&amp;$C$3,'CPI Log'!$A$4:$A$1000,"&lt;="&amp;$E$3,'CPI Log'!$V$4:$V$1000,"Partial retrace",'CPI Log'!$L$4:$L$1000,"Mixed")+COUNTIFS('CPI Log'!$A$4:$A$1000,"&gt;="&amp;$C$3,'CPI Log'!$A$4:$A$1000,"&lt;="&amp;$E$3,'CPI Log'!$V$4:$V$1000,"Stalled / chop",'CPI Log'!$L$4:$L$1000,"Mixed")</f>
        <v/>
      </c>
    </row>
    <row r="16" ht="20" customHeight="1">
      <c r="A16" s="38" t="inlineStr">
        <is>
          <t>2 · When did price come back to the 8:30 open?</t>
        </is>
      </c>
    </row>
    <row r="17" ht="26" customHeight="1">
      <c r="A17" s="39" t="inlineStr">
        <is>
          <t>Cumulative % = it had come back by the end of that window.</t>
        </is>
      </c>
    </row>
    <row r="18" ht="30" customHeight="1">
      <c r="A18" s="40" t="inlineStr">
        <is>
          <t>Window (NY time)</t>
        </is>
      </c>
      <c r="B18" s="41" t="inlineStr">
        <is>
          <t>#</t>
        </is>
      </c>
      <c r="C18" s="41" t="inlineStr">
        <is>
          <t>%</t>
        </is>
      </c>
      <c r="D18" s="41" t="inlineStr">
        <is>
          <t>Cumulative %</t>
        </is>
      </c>
    </row>
    <row r="19">
      <c r="A19" s="42" t="inlineStr">
        <is>
          <t>0-15 sec</t>
        </is>
      </c>
      <c r="B19" s="46">
        <f>COUNTIFS('CPI Log'!$A$4:$A$1000,"&gt;="&amp;$C$3,'CPI Log'!$A$4:$A$1000,"&lt;="&amp;$E$3,'CPI Log'!$T$4:$T$1000,$A19)</f>
        <v/>
      </c>
      <c r="C19" s="43">
        <f>IFERROR(B19/B$28,"–")</f>
        <v/>
      </c>
      <c r="D19" s="43">
        <f>IFERROR(SUM(B$19:B19)/B$28,"–")</f>
        <v/>
      </c>
    </row>
    <row r="20">
      <c r="A20" s="42" t="inlineStr">
        <is>
          <t>15-30 sec</t>
        </is>
      </c>
      <c r="B20" s="46">
        <f>COUNTIFS('CPI Log'!$A$4:$A$1000,"&gt;="&amp;$C$3,'CPI Log'!$A$4:$A$1000,"&lt;="&amp;$E$3,'CPI Log'!$T$4:$T$1000,$A20)</f>
        <v/>
      </c>
      <c r="C20" s="43">
        <f>IFERROR(B20/B$28,"–")</f>
        <v/>
      </c>
      <c r="D20" s="43">
        <f>IFERROR(SUM(B$19:B20)/B$28,"–")</f>
        <v/>
      </c>
    </row>
    <row r="21">
      <c r="A21" s="42" t="inlineStr">
        <is>
          <t>30-60 sec</t>
        </is>
      </c>
      <c r="B21" s="46">
        <f>COUNTIFS('CPI Log'!$A$4:$A$1000,"&gt;="&amp;$C$3,'CPI Log'!$A$4:$A$1000,"&lt;="&amp;$E$3,'CPI Log'!$T$4:$T$1000,$A21)</f>
        <v/>
      </c>
      <c r="C21" s="43">
        <f>IFERROR(B21/B$28,"–")</f>
        <v/>
      </c>
      <c r="D21" s="43">
        <f>IFERROR(SUM(B$19:B21)/B$28,"–")</f>
        <v/>
      </c>
    </row>
    <row r="22">
      <c r="A22" s="42" t="inlineStr">
        <is>
          <t>1-5 min</t>
        </is>
      </c>
      <c r="B22" s="46">
        <f>COUNTIFS('CPI Log'!$A$4:$A$1000,"&gt;="&amp;$C$3,'CPI Log'!$A$4:$A$1000,"&lt;="&amp;$E$3,'CPI Log'!$T$4:$T$1000,$A22)</f>
        <v/>
      </c>
      <c r="C22" s="43">
        <f>IFERROR(B22/B$28,"–")</f>
        <v/>
      </c>
      <c r="D22" s="43">
        <f>IFERROR(SUM(B$19:B22)/B$28,"–")</f>
        <v/>
      </c>
    </row>
    <row r="23">
      <c r="A23" s="42" t="inlineStr">
        <is>
          <t>5-15 min</t>
        </is>
      </c>
      <c r="B23" s="46">
        <f>COUNTIFS('CPI Log'!$A$4:$A$1000,"&gt;="&amp;$C$3,'CPI Log'!$A$4:$A$1000,"&lt;="&amp;$E$3,'CPI Log'!$T$4:$T$1000,$A23)</f>
        <v/>
      </c>
      <c r="C23" s="43">
        <f>IFERROR(B23/B$28,"–")</f>
        <v/>
      </c>
      <c r="D23" s="43">
        <f>IFERROR(SUM(B$19:B23)/B$28,"–")</f>
        <v/>
      </c>
    </row>
    <row r="24">
      <c r="A24" s="42" t="inlineStr">
        <is>
          <t>15-60 min</t>
        </is>
      </c>
      <c r="B24" s="46">
        <f>COUNTIFS('CPI Log'!$A$4:$A$1000,"&gt;="&amp;$C$3,'CPI Log'!$A$4:$A$1000,"&lt;="&amp;$E$3,'CPI Log'!$T$4:$T$1000,$A24)</f>
        <v/>
      </c>
      <c r="C24" s="43">
        <f>IFERROR(B24/B$28,"–")</f>
        <v/>
      </c>
      <c r="D24" s="43">
        <f>IFERROR(SUM(B$19:B24)/B$28,"–")</f>
        <v/>
      </c>
    </row>
    <row r="25">
      <c r="A25" s="42" t="inlineStr">
        <is>
          <t>9:30-11:00</t>
        </is>
      </c>
      <c r="B25" s="46">
        <f>COUNTIFS('CPI Log'!$A$4:$A$1000,"&gt;="&amp;$C$3,'CPI Log'!$A$4:$A$1000,"&lt;="&amp;$E$3,'CPI Log'!$T$4:$T$1000,$A25)</f>
        <v/>
      </c>
      <c r="C25" s="43">
        <f>IFERROR(B25/B$28,"–")</f>
        <v/>
      </c>
      <c r="D25" s="43">
        <f>IFERROR(SUM(B$19:B25)/B$28,"–")</f>
        <v/>
      </c>
    </row>
    <row r="26">
      <c r="A26" s="42" t="inlineStr">
        <is>
          <t>11:00-16:00</t>
        </is>
      </c>
      <c r="B26" s="46">
        <f>COUNTIFS('CPI Log'!$A$4:$A$1000,"&gt;="&amp;$C$3,'CPI Log'!$A$4:$A$1000,"&lt;="&amp;$E$3,'CPI Log'!$T$4:$T$1000,$A26)</f>
        <v/>
      </c>
      <c r="C26" s="43">
        <f>IFERROR(B26/B$28,"–")</f>
        <v/>
      </c>
      <c r="D26" s="43">
        <f>IFERROR(SUM(B$19:B26)/B$28,"–")</f>
        <v/>
      </c>
    </row>
    <row r="27">
      <c r="A27" s="42" t="inlineStr">
        <is>
          <t>Not by 16:00</t>
        </is>
      </c>
      <c r="B27" s="46">
        <f>COUNTIFS('CPI Log'!$A$4:$A$1000,"&gt;="&amp;$C$3,'CPI Log'!$A$4:$A$1000,"&lt;="&amp;$E$3,'CPI Log'!$T$4:$T$1000,$A27)</f>
        <v/>
      </c>
      <c r="C27" s="43">
        <f>IFERROR(B27/B$28,"–")</f>
        <v/>
      </c>
    </row>
    <row r="28">
      <c r="A28" s="44" t="inlineStr">
        <is>
          <t>n (releases)</t>
        </is>
      </c>
      <c r="B28" s="45">
        <f>SUM(B19:B27)</f>
        <v/>
      </c>
    </row>
    <row r="31" ht="20" customHeight="1">
      <c r="A31" s="38" t="inlineStr">
        <is>
          <t>3 · At the 8:30 open, price…  (does it just grab the liquidity and keep going?)</t>
        </is>
      </c>
    </row>
    <row r="32" ht="30" customHeight="1">
      <c r="A32" s="40" t="inlineStr">
        <is>
          <t>Reaction</t>
        </is>
      </c>
      <c r="B32" s="41" t="inlineStr">
        <is>
          <t>#</t>
        </is>
      </c>
      <c r="C32" s="41" t="inlineStr">
        <is>
          <t>%</t>
        </is>
      </c>
      <c r="D32" s="41" t="inlineStr">
        <is>
          <t>% of the times it came back</t>
        </is>
      </c>
    </row>
    <row r="33">
      <c r="A33" s="42" t="inlineStr">
        <is>
          <t>Swept &amp; resumed</t>
        </is>
      </c>
      <c r="B33" s="46">
        <f>COUNTIFS('CPI Log'!$A$4:$A$1000,"&gt;="&amp;$C$3,'CPI Log'!$A$4:$A$1000,"&lt;="&amp;$E$3,'CPI Log'!$U$4:$U$1000,$A33)</f>
        <v/>
      </c>
      <c r="C33" s="43">
        <f>IFERROR(B33/B$37,"–")</f>
        <v/>
      </c>
      <c r="D33" s="43">
        <f>IFERROR(B33/SUM(B$33:B$35),"–")</f>
        <v/>
      </c>
    </row>
    <row r="34">
      <c r="A34" s="42" t="inlineStr">
        <is>
          <t>Broke through</t>
        </is>
      </c>
      <c r="B34" s="46">
        <f>COUNTIFS('CPI Log'!$A$4:$A$1000,"&gt;="&amp;$C$3,'CPI Log'!$A$4:$A$1000,"&lt;="&amp;$E$3,'CPI Log'!$U$4:$U$1000,$A34)</f>
        <v/>
      </c>
      <c r="C34" s="43">
        <f>IFERROR(B34/B$37,"–")</f>
        <v/>
      </c>
      <c r="D34" s="43">
        <f>IFERROR(B34/SUM(B$33:B$35),"–")</f>
        <v/>
      </c>
    </row>
    <row r="35">
      <c r="A35" s="42" t="inlineStr">
        <is>
          <t>Chopped around</t>
        </is>
      </c>
      <c r="B35" s="46">
        <f>COUNTIFS('CPI Log'!$A$4:$A$1000,"&gt;="&amp;$C$3,'CPI Log'!$A$4:$A$1000,"&lt;="&amp;$E$3,'CPI Log'!$U$4:$U$1000,$A35)</f>
        <v/>
      </c>
      <c r="C35" s="43">
        <f>IFERROR(B35/B$37,"–")</f>
        <v/>
      </c>
      <c r="D35" s="43">
        <f>IFERROR(B35/SUM(B$33:B$35),"–")</f>
        <v/>
      </c>
    </row>
    <row r="36">
      <c r="A36" s="42" t="inlineStr">
        <is>
          <t>Never came back</t>
        </is>
      </c>
      <c r="B36" s="46">
        <f>COUNTIFS('CPI Log'!$A$4:$A$1000,"&gt;="&amp;$C$3,'CPI Log'!$A$4:$A$1000,"&lt;="&amp;$E$3,'CPI Log'!$U$4:$U$1000,$A36)</f>
        <v/>
      </c>
      <c r="C36" s="43">
        <f>IFERROR(B36/B$37,"–")</f>
        <v/>
      </c>
    </row>
    <row r="37">
      <c r="A37" s="44" t="inlineStr">
        <is>
          <t>n (releases)</t>
        </is>
      </c>
      <c r="B37" s="45">
        <f>SUM(B33:B36)</f>
        <v/>
      </c>
    </row>
    <row r="40" ht="20" customHeight="1">
      <c r="A40" s="38" t="inlineStr">
        <is>
          <t>4 · How long until the 1-min candle's HIGH / LOW (BSL / SSL) got taken?</t>
        </is>
      </c>
    </row>
    <row r="41" ht="26" customHeight="1">
      <c r="A41" s="39" t="inlineStr">
        <is>
          <t>Main side = the end of the 1-min candle in the Main Move direction (the HIGH when Main Move is Up). Wick side = the other end. Cumulative % = taken by the end of that window. 'Not by 16:00' = that end held as the high/low for the rest of the day.</t>
        </is>
      </c>
    </row>
    <row r="42" ht="30" customHeight="1">
      <c r="A42" s="40" t="inlineStr">
        <is>
          <t>Window (NY time)</t>
        </is>
      </c>
      <c r="B42" s="41" t="inlineStr">
        <is>
          <t>Main side #</t>
        </is>
      </c>
      <c r="C42" s="41" t="inlineStr">
        <is>
          <t>Main side cum. %</t>
        </is>
      </c>
      <c r="D42" s="41" t="inlineStr">
        <is>
          <t>Wick side #</t>
        </is>
      </c>
      <c r="E42" s="41" t="inlineStr">
        <is>
          <t>Wick side cum. %</t>
        </is>
      </c>
    </row>
    <row r="43">
      <c r="A43" s="42" t="inlineStr">
        <is>
          <t>1-5 min</t>
        </is>
      </c>
      <c r="B43" s="46">
        <f>COUNTIFS('CPI Log'!$A$4:$A$1000,"&gt;="&amp;$C$3,'CPI Log'!$A$4:$A$1000,"&lt;="&amp;$E$3,'CPI Log'!$E$4:$E$1000,"Up",'CPI Log'!$Q$4:$Q$1000,$A43)+COUNTIFS('CPI Log'!$A$4:$A$1000,"&gt;="&amp;$C$3,'CPI Log'!$A$4:$A$1000,"&lt;="&amp;$E$3,'CPI Log'!$E$4:$E$1000,"Down",'CPI Log'!$R$4:$R$1000,$A43)</f>
        <v/>
      </c>
      <c r="C43" s="43">
        <f>IFERROR(SUM(B$43:B43)/B$49,"–")</f>
        <v/>
      </c>
      <c r="D43" s="46">
        <f>COUNTIFS('CPI Log'!$A$4:$A$1000,"&gt;="&amp;$C$3,'CPI Log'!$A$4:$A$1000,"&lt;="&amp;$E$3,'CPI Log'!$E$4:$E$1000,"Up",'CPI Log'!$R$4:$R$1000,$A43)+COUNTIFS('CPI Log'!$A$4:$A$1000,"&gt;="&amp;$C$3,'CPI Log'!$A$4:$A$1000,"&lt;="&amp;$E$3,'CPI Log'!$E$4:$E$1000,"Down",'CPI Log'!$Q$4:$Q$1000,$A43)</f>
        <v/>
      </c>
      <c r="E43" s="43">
        <f>IFERROR(SUM(D$43:D43)/D$49,"–")</f>
        <v/>
      </c>
    </row>
    <row r="44">
      <c r="A44" s="42" t="inlineStr">
        <is>
          <t>5-15 min</t>
        </is>
      </c>
      <c r="B44" s="46">
        <f>COUNTIFS('CPI Log'!$A$4:$A$1000,"&gt;="&amp;$C$3,'CPI Log'!$A$4:$A$1000,"&lt;="&amp;$E$3,'CPI Log'!$E$4:$E$1000,"Up",'CPI Log'!$Q$4:$Q$1000,$A44)+COUNTIFS('CPI Log'!$A$4:$A$1000,"&gt;="&amp;$C$3,'CPI Log'!$A$4:$A$1000,"&lt;="&amp;$E$3,'CPI Log'!$E$4:$E$1000,"Down",'CPI Log'!$R$4:$R$1000,$A44)</f>
        <v/>
      </c>
      <c r="C44" s="43">
        <f>IFERROR(SUM(B$43:B44)/B$49,"–")</f>
        <v/>
      </c>
      <c r="D44" s="46">
        <f>COUNTIFS('CPI Log'!$A$4:$A$1000,"&gt;="&amp;$C$3,'CPI Log'!$A$4:$A$1000,"&lt;="&amp;$E$3,'CPI Log'!$E$4:$E$1000,"Up",'CPI Log'!$R$4:$R$1000,$A44)+COUNTIFS('CPI Log'!$A$4:$A$1000,"&gt;="&amp;$C$3,'CPI Log'!$A$4:$A$1000,"&lt;="&amp;$E$3,'CPI Log'!$E$4:$E$1000,"Down",'CPI Log'!$Q$4:$Q$1000,$A44)</f>
        <v/>
      </c>
      <c r="E44" s="43">
        <f>IFERROR(SUM(D$43:D44)/D$49,"–")</f>
        <v/>
      </c>
    </row>
    <row r="45">
      <c r="A45" s="42" t="inlineStr">
        <is>
          <t>15-60 min</t>
        </is>
      </c>
      <c r="B45" s="46">
        <f>COUNTIFS('CPI Log'!$A$4:$A$1000,"&gt;="&amp;$C$3,'CPI Log'!$A$4:$A$1000,"&lt;="&amp;$E$3,'CPI Log'!$E$4:$E$1000,"Up",'CPI Log'!$Q$4:$Q$1000,$A45)+COUNTIFS('CPI Log'!$A$4:$A$1000,"&gt;="&amp;$C$3,'CPI Log'!$A$4:$A$1000,"&lt;="&amp;$E$3,'CPI Log'!$E$4:$E$1000,"Down",'CPI Log'!$R$4:$R$1000,$A45)</f>
        <v/>
      </c>
      <c r="C45" s="43">
        <f>IFERROR(SUM(B$43:B45)/B$49,"–")</f>
        <v/>
      </c>
      <c r="D45" s="46">
        <f>COUNTIFS('CPI Log'!$A$4:$A$1000,"&gt;="&amp;$C$3,'CPI Log'!$A$4:$A$1000,"&lt;="&amp;$E$3,'CPI Log'!$E$4:$E$1000,"Up",'CPI Log'!$R$4:$R$1000,$A45)+COUNTIFS('CPI Log'!$A$4:$A$1000,"&gt;="&amp;$C$3,'CPI Log'!$A$4:$A$1000,"&lt;="&amp;$E$3,'CPI Log'!$E$4:$E$1000,"Down",'CPI Log'!$Q$4:$Q$1000,$A45)</f>
        <v/>
      </c>
      <c r="E45" s="43">
        <f>IFERROR(SUM(D$43:D45)/D$49,"–")</f>
        <v/>
      </c>
    </row>
    <row r="46">
      <c r="A46" s="42" t="inlineStr">
        <is>
          <t>9:30-11:00</t>
        </is>
      </c>
      <c r="B46" s="46">
        <f>COUNTIFS('CPI Log'!$A$4:$A$1000,"&gt;="&amp;$C$3,'CPI Log'!$A$4:$A$1000,"&lt;="&amp;$E$3,'CPI Log'!$E$4:$E$1000,"Up",'CPI Log'!$Q$4:$Q$1000,$A46)+COUNTIFS('CPI Log'!$A$4:$A$1000,"&gt;="&amp;$C$3,'CPI Log'!$A$4:$A$1000,"&lt;="&amp;$E$3,'CPI Log'!$E$4:$E$1000,"Down",'CPI Log'!$R$4:$R$1000,$A46)</f>
        <v/>
      </c>
      <c r="C46" s="43">
        <f>IFERROR(SUM(B$43:B46)/B$49,"–")</f>
        <v/>
      </c>
      <c r="D46" s="46">
        <f>COUNTIFS('CPI Log'!$A$4:$A$1000,"&gt;="&amp;$C$3,'CPI Log'!$A$4:$A$1000,"&lt;="&amp;$E$3,'CPI Log'!$E$4:$E$1000,"Up",'CPI Log'!$R$4:$R$1000,$A46)+COUNTIFS('CPI Log'!$A$4:$A$1000,"&gt;="&amp;$C$3,'CPI Log'!$A$4:$A$1000,"&lt;="&amp;$E$3,'CPI Log'!$E$4:$E$1000,"Down",'CPI Log'!$Q$4:$Q$1000,$A46)</f>
        <v/>
      </c>
      <c r="E46" s="43">
        <f>IFERROR(SUM(D$43:D46)/D$49,"–")</f>
        <v/>
      </c>
    </row>
    <row r="47">
      <c r="A47" s="42" t="inlineStr">
        <is>
          <t>11:00-16:00</t>
        </is>
      </c>
      <c r="B47" s="46">
        <f>COUNTIFS('CPI Log'!$A$4:$A$1000,"&gt;="&amp;$C$3,'CPI Log'!$A$4:$A$1000,"&lt;="&amp;$E$3,'CPI Log'!$E$4:$E$1000,"Up",'CPI Log'!$Q$4:$Q$1000,$A47)+COUNTIFS('CPI Log'!$A$4:$A$1000,"&gt;="&amp;$C$3,'CPI Log'!$A$4:$A$1000,"&lt;="&amp;$E$3,'CPI Log'!$E$4:$E$1000,"Down",'CPI Log'!$R$4:$R$1000,$A47)</f>
        <v/>
      </c>
      <c r="C47" s="43">
        <f>IFERROR(SUM(B$43:B47)/B$49,"–")</f>
        <v/>
      </c>
      <c r="D47" s="46">
        <f>COUNTIFS('CPI Log'!$A$4:$A$1000,"&gt;="&amp;$C$3,'CPI Log'!$A$4:$A$1000,"&lt;="&amp;$E$3,'CPI Log'!$E$4:$E$1000,"Up",'CPI Log'!$R$4:$R$1000,$A47)+COUNTIFS('CPI Log'!$A$4:$A$1000,"&gt;="&amp;$C$3,'CPI Log'!$A$4:$A$1000,"&lt;="&amp;$E$3,'CPI Log'!$E$4:$E$1000,"Down",'CPI Log'!$Q$4:$Q$1000,$A47)</f>
        <v/>
      </c>
      <c r="E47" s="43">
        <f>IFERROR(SUM(D$43:D47)/D$49,"–")</f>
        <v/>
      </c>
    </row>
    <row r="48">
      <c r="A48" s="42" t="inlineStr">
        <is>
          <t>Not by 16:00</t>
        </is>
      </c>
      <c r="B48" s="46">
        <f>COUNTIFS('CPI Log'!$A$4:$A$1000,"&gt;="&amp;$C$3,'CPI Log'!$A$4:$A$1000,"&lt;="&amp;$E$3,'CPI Log'!$E$4:$E$1000,"Up",'CPI Log'!$Q$4:$Q$1000,$A48)+COUNTIFS('CPI Log'!$A$4:$A$1000,"&gt;="&amp;$C$3,'CPI Log'!$A$4:$A$1000,"&lt;="&amp;$E$3,'CPI Log'!$E$4:$E$1000,"Down",'CPI Log'!$R$4:$R$1000,$A48)</f>
        <v/>
      </c>
      <c r="D48" s="46">
        <f>COUNTIFS('CPI Log'!$A$4:$A$1000,"&gt;="&amp;$C$3,'CPI Log'!$A$4:$A$1000,"&lt;="&amp;$E$3,'CPI Log'!$E$4:$E$1000,"Up",'CPI Log'!$R$4:$R$1000,$A48)+COUNTIFS('CPI Log'!$A$4:$A$1000,"&gt;="&amp;$C$3,'CPI Log'!$A$4:$A$1000,"&lt;="&amp;$E$3,'CPI Log'!$E$4:$E$1000,"Down",'CPI Log'!$Q$4:$Q$1000,$A48)</f>
        <v/>
      </c>
    </row>
    <row r="49">
      <c r="A49" s="44" t="inlineStr">
        <is>
          <t>n (releases)</t>
        </is>
      </c>
      <c r="B49" s="45">
        <f>SUM(B43:B48)</f>
        <v/>
      </c>
      <c r="D49" s="45">
        <f>SUM(D43:D48)</f>
        <v/>
      </c>
    </row>
    <row r="51" ht="30" customHeight="1">
      <c r="A51" s="40" t="inlineStr">
        <is>
          <t>Which side was taken first?</t>
        </is>
      </c>
      <c r="B51" s="41" t="inlineStr">
        <is>
          <t>#</t>
        </is>
      </c>
      <c r="C51" s="41" t="inlineStr">
        <is>
          <t>%</t>
        </is>
      </c>
    </row>
    <row r="52">
      <c r="A52" s="42" t="inlineStr">
        <is>
          <t>Main side first (continuation)</t>
        </is>
      </c>
      <c r="B52" s="46">
        <f>COUNTIFS('CPI Log'!$A$4:$A$1000,"&gt;="&amp;$C$3,'CPI Log'!$A$4:$A$1000,"&lt;="&amp;$E$3,'CPI Log'!$W$4:$W$1000,"High first (main side)")+COUNTIFS('CPI Log'!$A$4:$A$1000,"&gt;="&amp;$C$3,'CPI Log'!$A$4:$A$1000,"&lt;="&amp;$E$3,'CPI Log'!$W$4:$W$1000,"Low first (main side)")</f>
        <v/>
      </c>
      <c r="C52" s="43">
        <f>IFERROR(B52/B$56,"–")</f>
        <v/>
      </c>
    </row>
    <row r="53">
      <c r="A53" s="42" t="inlineStr">
        <is>
          <t>Wick side first (reversal)</t>
        </is>
      </c>
      <c r="B53" s="46">
        <f>COUNTIFS('CPI Log'!$A$4:$A$1000,"&gt;="&amp;$C$3,'CPI Log'!$A$4:$A$1000,"&lt;="&amp;$E$3,'CPI Log'!$W$4:$W$1000,"High first (wick side)")+COUNTIFS('CPI Log'!$A$4:$A$1000,"&gt;="&amp;$C$3,'CPI Log'!$A$4:$A$1000,"&lt;="&amp;$E$3,'CPI Log'!$W$4:$W$1000,"Low first (wick side)")</f>
        <v/>
      </c>
      <c r="C53" s="43">
        <f>IFERROR(B53/B$56,"–")</f>
        <v/>
      </c>
    </row>
    <row r="54">
      <c r="A54" s="42" t="inlineStr">
        <is>
          <t>Both in the same window</t>
        </is>
      </c>
      <c r="B54" s="46">
        <f>COUNTIFS('CPI Log'!$A$4:$A$1000,"&gt;="&amp;$C$3,'CPI Log'!$A$4:$A$1000,"&lt;="&amp;$E$3,'CPI Log'!$W$4:$W$1000,"Same window")</f>
        <v/>
      </c>
      <c r="C54" s="43">
        <f>IFERROR(B54/B$56,"–")</f>
        <v/>
      </c>
    </row>
    <row r="55">
      <c r="A55" s="42" t="inlineStr">
        <is>
          <t>Neither taken by 16:00</t>
        </is>
      </c>
      <c r="B55" s="46">
        <f>COUNTIFS('CPI Log'!$A$4:$A$1000,"&gt;="&amp;$C$3,'CPI Log'!$A$4:$A$1000,"&lt;="&amp;$E$3,'CPI Log'!$W$4:$W$1000,"Neither taken")</f>
        <v/>
      </c>
      <c r="C55" s="43">
        <f>IFERROR(B55/B$56,"–")</f>
        <v/>
      </c>
    </row>
    <row r="56">
      <c r="A56" s="44" t="inlineStr">
        <is>
          <t>n (releases)</t>
        </is>
      </c>
      <c r="B56" s="45">
        <f>SUM(B52:B55)</f>
        <v/>
      </c>
    </row>
    <row r="59" ht="20" customHeight="1">
      <c r="A59" s="47" t="inlineStr">
        <is>
          <t>5 · Where did the candles close? (relative to the main move)</t>
        </is>
      </c>
    </row>
    <row r="60" ht="26" customHeight="1">
      <c r="A60" s="39" t="inlineStr">
        <is>
          <t>Strong end = the third on the main-move side (Top when Main Move is Up, Bottom when it is Down). Wick end = the opposite third.</t>
        </is>
      </c>
    </row>
    <row r="61" ht="30" customHeight="1">
      <c r="A61" s="48" t="inlineStr">
        <is>
          <t>Candle</t>
        </is>
      </c>
      <c r="B61" s="49" t="inlineStr">
        <is>
          <t>Strong end</t>
        </is>
      </c>
      <c r="C61" s="49" t="inlineStr">
        <is>
          <t>Middle</t>
        </is>
      </c>
      <c r="D61" s="49" t="inlineStr">
        <is>
          <t>Wick end</t>
        </is>
      </c>
      <c r="E61" s="49" t="inlineStr">
        <is>
          <t>n</t>
        </is>
      </c>
    </row>
    <row r="62">
      <c r="A62" s="42" t="inlineStr">
        <is>
          <t>1m candle (8:30)</t>
        </is>
      </c>
      <c r="B62" s="43">
        <f>IFERROR((COUNTIFS('CPI Log'!$A$4:$A$1000,"&gt;="&amp;$C$3,'CPI Log'!$A$4:$A$1000,"&lt;="&amp;$E$3,'CPI Log'!$E$4:$E$1000,"Up",'CPI Log'!$N$4:$N$1000,"Top")+COUNTIFS('CPI Log'!$A$4:$A$1000,"&gt;="&amp;$C$3,'CPI Log'!$A$4:$A$1000,"&lt;="&amp;$E$3,'CPI Log'!$E$4:$E$1000,"Down",'CPI Log'!$N$4:$N$1000,"Bottom"))/(E62),"–")</f>
        <v/>
      </c>
      <c r="C62" s="43">
        <f>IFERROR((COUNTIFS('CPI Log'!$A$4:$A$1000,"&gt;="&amp;$C$3,'CPI Log'!$A$4:$A$1000,"&lt;="&amp;$E$3,'CPI Log'!$E$4:$E$1000,"Up",'CPI Log'!$N$4:$N$1000,"Middle")+COUNTIFS('CPI Log'!$A$4:$A$1000,"&gt;="&amp;$C$3,'CPI Log'!$A$4:$A$1000,"&lt;="&amp;$E$3,'CPI Log'!$E$4:$E$1000,"Down",'CPI Log'!$N$4:$N$1000,"Middle"))/(E62),"–")</f>
        <v/>
      </c>
      <c r="D62" s="43">
        <f>IFERROR((COUNTIFS('CPI Log'!$A$4:$A$1000,"&gt;="&amp;$C$3,'CPI Log'!$A$4:$A$1000,"&lt;="&amp;$E$3,'CPI Log'!$E$4:$E$1000,"Up",'CPI Log'!$N$4:$N$1000,"Bottom")+COUNTIFS('CPI Log'!$A$4:$A$1000,"&gt;="&amp;$C$3,'CPI Log'!$A$4:$A$1000,"&lt;="&amp;$E$3,'CPI Log'!$E$4:$E$1000,"Down",'CPI Log'!$N$4:$N$1000,"Top"))/(E62),"–")</f>
        <v/>
      </c>
      <c r="E62" s="45">
        <f>COUNTIFS('CPI Log'!$A$4:$A$1000,"&gt;="&amp;$C$3,'CPI Log'!$A$4:$A$1000,"&lt;="&amp;$E$3,'CPI Log'!$E$4:$E$1000,"Up",'CPI Log'!$N$4:$N$1000,"Top")+COUNTIFS('CPI Log'!$A$4:$A$1000,"&gt;="&amp;$C$3,'CPI Log'!$A$4:$A$1000,"&lt;="&amp;$E$3,'CPI Log'!$E$4:$E$1000,"Down",'CPI Log'!$N$4:$N$1000,"Bottom")+COUNTIFS('CPI Log'!$A$4:$A$1000,"&gt;="&amp;$C$3,'CPI Log'!$A$4:$A$1000,"&lt;="&amp;$E$3,'CPI Log'!$E$4:$E$1000,"Up",'CPI Log'!$N$4:$N$1000,"Middle")+COUNTIFS('CPI Log'!$A$4:$A$1000,"&gt;="&amp;$C$3,'CPI Log'!$A$4:$A$1000,"&lt;="&amp;$E$3,'CPI Log'!$E$4:$E$1000,"Down",'CPI Log'!$N$4:$N$1000,"Middle")+COUNTIFS('CPI Log'!$A$4:$A$1000,"&gt;="&amp;$C$3,'CPI Log'!$A$4:$A$1000,"&lt;="&amp;$E$3,'CPI Log'!$E$4:$E$1000,"Up",'CPI Log'!$N$4:$N$1000,"Bottom")+COUNTIFS('CPI Log'!$A$4:$A$1000,"&gt;="&amp;$C$3,'CPI Log'!$A$4:$A$1000,"&lt;="&amp;$E$3,'CPI Log'!$E$4:$E$1000,"Down",'CPI Log'!$N$4:$N$1000,"Top")</f>
        <v/>
      </c>
    </row>
    <row r="63">
      <c r="A63" s="42" t="inlineStr">
        <is>
          <t>5m candle (8:30-8:34)</t>
        </is>
      </c>
      <c r="B63" s="43">
        <f>IFERROR((COUNTIFS('CPI Log'!$A$4:$A$1000,"&gt;="&amp;$C$3,'CPI Log'!$A$4:$A$1000,"&lt;="&amp;$E$3,'CPI Log'!$E$4:$E$1000,"Up",'CPI Log'!$O$4:$O$1000,"Top")+COUNTIFS('CPI Log'!$A$4:$A$1000,"&gt;="&amp;$C$3,'CPI Log'!$A$4:$A$1000,"&lt;="&amp;$E$3,'CPI Log'!$E$4:$E$1000,"Down",'CPI Log'!$O$4:$O$1000,"Bottom"))/(E63),"–")</f>
        <v/>
      </c>
      <c r="C63" s="43">
        <f>IFERROR((COUNTIFS('CPI Log'!$A$4:$A$1000,"&gt;="&amp;$C$3,'CPI Log'!$A$4:$A$1000,"&lt;="&amp;$E$3,'CPI Log'!$E$4:$E$1000,"Up",'CPI Log'!$O$4:$O$1000,"Middle")+COUNTIFS('CPI Log'!$A$4:$A$1000,"&gt;="&amp;$C$3,'CPI Log'!$A$4:$A$1000,"&lt;="&amp;$E$3,'CPI Log'!$E$4:$E$1000,"Down",'CPI Log'!$O$4:$O$1000,"Middle"))/(E63),"–")</f>
        <v/>
      </c>
      <c r="D63" s="43">
        <f>IFERROR((COUNTIFS('CPI Log'!$A$4:$A$1000,"&gt;="&amp;$C$3,'CPI Log'!$A$4:$A$1000,"&lt;="&amp;$E$3,'CPI Log'!$E$4:$E$1000,"Up",'CPI Log'!$O$4:$O$1000,"Bottom")+COUNTIFS('CPI Log'!$A$4:$A$1000,"&gt;="&amp;$C$3,'CPI Log'!$A$4:$A$1000,"&lt;="&amp;$E$3,'CPI Log'!$E$4:$E$1000,"Down",'CPI Log'!$O$4:$O$1000,"Top"))/(E63),"–")</f>
        <v/>
      </c>
      <c r="E63" s="45">
        <f>COUNTIFS('CPI Log'!$A$4:$A$1000,"&gt;="&amp;$C$3,'CPI Log'!$A$4:$A$1000,"&lt;="&amp;$E$3,'CPI Log'!$E$4:$E$1000,"Up",'CPI Log'!$O$4:$O$1000,"Top")+COUNTIFS('CPI Log'!$A$4:$A$1000,"&gt;="&amp;$C$3,'CPI Log'!$A$4:$A$1000,"&lt;="&amp;$E$3,'CPI Log'!$E$4:$E$1000,"Down",'CPI Log'!$O$4:$O$1000,"Bottom")+COUNTIFS('CPI Log'!$A$4:$A$1000,"&gt;="&amp;$C$3,'CPI Log'!$A$4:$A$1000,"&lt;="&amp;$E$3,'CPI Log'!$E$4:$E$1000,"Up",'CPI Log'!$O$4:$O$1000,"Middle")+COUNTIFS('CPI Log'!$A$4:$A$1000,"&gt;="&amp;$C$3,'CPI Log'!$A$4:$A$1000,"&lt;="&amp;$E$3,'CPI Log'!$E$4:$E$1000,"Down",'CPI Log'!$O$4:$O$1000,"Middle")+COUNTIFS('CPI Log'!$A$4:$A$1000,"&gt;="&amp;$C$3,'CPI Log'!$A$4:$A$1000,"&lt;="&amp;$E$3,'CPI Log'!$E$4:$E$1000,"Up",'CPI Log'!$O$4:$O$1000,"Bottom")+COUNTIFS('CPI Log'!$A$4:$A$1000,"&gt;="&amp;$C$3,'CPI Log'!$A$4:$A$1000,"&lt;="&amp;$E$3,'CPI Log'!$E$4:$E$1000,"Down",'CPI Log'!$O$4:$O$1000,"Top")</f>
        <v/>
      </c>
    </row>
    <row r="64">
      <c r="A64" s="42" t="inlineStr">
        <is>
          <t>15m candle (8:30-8:44)</t>
        </is>
      </c>
      <c r="B64" s="43">
        <f>IFERROR((COUNTIFS('CPI Log'!$A$4:$A$1000,"&gt;="&amp;$C$3,'CPI Log'!$A$4:$A$1000,"&lt;="&amp;$E$3,'CPI Log'!$E$4:$E$1000,"Up",'CPI Log'!$P$4:$P$1000,"Top")+COUNTIFS('CPI Log'!$A$4:$A$1000,"&gt;="&amp;$C$3,'CPI Log'!$A$4:$A$1000,"&lt;="&amp;$E$3,'CPI Log'!$E$4:$E$1000,"Down",'CPI Log'!$P$4:$P$1000,"Bottom"))/(E64),"–")</f>
        <v/>
      </c>
      <c r="C64" s="43">
        <f>IFERROR((COUNTIFS('CPI Log'!$A$4:$A$1000,"&gt;="&amp;$C$3,'CPI Log'!$A$4:$A$1000,"&lt;="&amp;$E$3,'CPI Log'!$E$4:$E$1000,"Up",'CPI Log'!$P$4:$P$1000,"Middle")+COUNTIFS('CPI Log'!$A$4:$A$1000,"&gt;="&amp;$C$3,'CPI Log'!$A$4:$A$1000,"&lt;="&amp;$E$3,'CPI Log'!$E$4:$E$1000,"Down",'CPI Log'!$P$4:$P$1000,"Middle"))/(E64),"–")</f>
        <v/>
      </c>
      <c r="D64" s="43">
        <f>IFERROR((COUNTIFS('CPI Log'!$A$4:$A$1000,"&gt;="&amp;$C$3,'CPI Log'!$A$4:$A$1000,"&lt;="&amp;$E$3,'CPI Log'!$E$4:$E$1000,"Up",'CPI Log'!$P$4:$P$1000,"Bottom")+COUNTIFS('CPI Log'!$A$4:$A$1000,"&gt;="&amp;$C$3,'CPI Log'!$A$4:$A$1000,"&lt;="&amp;$E$3,'CPI Log'!$E$4:$E$1000,"Down",'CPI Log'!$P$4:$P$1000,"Top"))/(E64),"–")</f>
        <v/>
      </c>
      <c r="E64" s="45">
        <f>COUNTIFS('CPI Log'!$A$4:$A$1000,"&gt;="&amp;$C$3,'CPI Log'!$A$4:$A$1000,"&lt;="&amp;$E$3,'CPI Log'!$E$4:$E$1000,"Up",'CPI Log'!$P$4:$P$1000,"Top")+COUNTIFS('CPI Log'!$A$4:$A$1000,"&gt;="&amp;$C$3,'CPI Log'!$A$4:$A$1000,"&lt;="&amp;$E$3,'CPI Log'!$E$4:$E$1000,"Down",'CPI Log'!$P$4:$P$1000,"Bottom")+COUNTIFS('CPI Log'!$A$4:$A$1000,"&gt;="&amp;$C$3,'CPI Log'!$A$4:$A$1000,"&lt;="&amp;$E$3,'CPI Log'!$E$4:$E$1000,"Up",'CPI Log'!$P$4:$P$1000,"Middle")+COUNTIFS('CPI Log'!$A$4:$A$1000,"&gt;="&amp;$C$3,'CPI Log'!$A$4:$A$1000,"&lt;="&amp;$E$3,'CPI Log'!$E$4:$E$1000,"Down",'CPI Log'!$P$4:$P$1000,"Middle")+COUNTIFS('CPI Log'!$A$4:$A$1000,"&gt;="&amp;$C$3,'CPI Log'!$A$4:$A$1000,"&lt;="&amp;$E$3,'CPI Log'!$E$4:$E$1000,"Up",'CPI Log'!$P$4:$P$1000,"Bottom")+COUNTIFS('CPI Log'!$A$4:$A$1000,"&gt;="&amp;$C$3,'CPI Log'!$A$4:$A$1000,"&lt;="&amp;$E$3,'CPI Log'!$E$4:$E$1000,"Down",'CPI Log'!$P$4:$P$1000,"Top")</f>
        <v/>
      </c>
    </row>
    <row r="67" ht="20" customHeight="1">
      <c r="A67" s="38" t="inlineStr">
        <is>
          <t>6 · How deep was the pullback before the main move continued?</t>
        </is>
      </c>
    </row>
    <row r="68" ht="26" customHeight="1">
      <c r="A68" s="39" t="inlineStr">
        <is>
          <t>Use this for entries and stops: e.g. if most Continued cases reach 62% (OTE), a limit order at 62% gets filled most of the time.</t>
        </is>
      </c>
    </row>
    <row r="69" ht="30" customHeight="1">
      <c r="A69" s="40" t="inlineStr">
        <is>
          <t>Deepest pullback %</t>
        </is>
      </c>
      <c r="B69" s="41" t="inlineStr">
        <is>
          <t>All</t>
        </is>
      </c>
      <c r="C69" s="41" t="inlineStr">
        <is>
          <t>When it Continued</t>
        </is>
      </c>
    </row>
    <row r="70">
      <c r="A70" s="42" t="inlineStr">
        <is>
          <t>Average pullback</t>
        </is>
      </c>
      <c r="B70" s="50">
        <f>IFERROR(AVERAGEIFS('CPI Log'!$S$4:$S$1000,'CPI Log'!$A$4:$A$1000,"&gt;="&amp;$C$3,'CPI Log'!$A$4:$A$1000,"&lt;="&amp;$E$3,'CPI Log'!$S$4:$S$1000,"&gt;=0"),"–")</f>
        <v/>
      </c>
      <c r="C70" s="50">
        <f>IFERROR(AVERAGEIFS('CPI Log'!$S$4:$S$1000,'CPI Log'!$A$4:$A$1000,"&gt;="&amp;$C$3,'CPI Log'!$A$4:$A$1000,"&lt;="&amp;$E$3,'CPI Log'!$V$4:$V$1000,"Continued",'CPI Log'!$S$4:$S$1000,"&gt;=0"),"–")</f>
        <v/>
      </c>
    </row>
    <row r="71">
      <c r="A71" s="42" t="inlineStr">
        <is>
          <t>Reached 50% (half-way / equilibrium)</t>
        </is>
      </c>
      <c r="B71" s="43">
        <f>IFERROR((COUNTIFS('CPI Log'!$A$4:$A$1000,"&gt;="&amp;$C$3,'CPI Log'!$A$4:$A$1000,"&lt;="&amp;$E$3,'CPI Log'!$S$4:$S$1000,"&gt;=50"))/(B$76),"–")</f>
        <v/>
      </c>
      <c r="C71" s="43">
        <f>IFERROR((COUNTIFS('CPI Log'!$A$4:$A$1000,"&gt;="&amp;$C$3,'CPI Log'!$A$4:$A$1000,"&lt;="&amp;$E$3,'CPI Log'!$S$4:$S$1000,"&gt;=50",'CPI Log'!$V$4:$V$1000,"Continued"))/(C$76),"–")</f>
        <v/>
      </c>
    </row>
    <row r="72">
      <c r="A72" s="42" t="inlineStr">
        <is>
          <t>Reached 62% (OTE starts)</t>
        </is>
      </c>
      <c r="B72" s="43">
        <f>IFERROR((COUNTIFS('CPI Log'!$A$4:$A$1000,"&gt;="&amp;$C$3,'CPI Log'!$A$4:$A$1000,"&lt;="&amp;$E$3,'CPI Log'!$S$4:$S$1000,"&gt;=62"))/(B$76),"–")</f>
        <v/>
      </c>
      <c r="C72" s="43">
        <f>IFERROR((COUNTIFS('CPI Log'!$A$4:$A$1000,"&gt;="&amp;$C$3,'CPI Log'!$A$4:$A$1000,"&lt;="&amp;$E$3,'CPI Log'!$S$4:$S$1000,"&gt;=62",'CPI Log'!$V$4:$V$1000,"Continued"))/(C$76),"–")</f>
        <v/>
      </c>
    </row>
    <row r="73">
      <c r="A73" s="42" t="inlineStr">
        <is>
          <t>Reached 70.5% (OTE sweet spot)</t>
        </is>
      </c>
      <c r="B73" s="43">
        <f>IFERROR((COUNTIFS('CPI Log'!$A$4:$A$1000,"&gt;="&amp;$C$3,'CPI Log'!$A$4:$A$1000,"&lt;="&amp;$E$3,'CPI Log'!$S$4:$S$1000,"&gt;=70.5"))/(B$76),"–")</f>
        <v/>
      </c>
      <c r="C73" s="43">
        <f>IFERROR((COUNTIFS('CPI Log'!$A$4:$A$1000,"&gt;="&amp;$C$3,'CPI Log'!$A$4:$A$1000,"&lt;="&amp;$E$3,'CPI Log'!$S$4:$S$1000,"&gt;=70.5",'CPI Log'!$V$4:$V$1000,"Continued"))/(C$76),"–")</f>
        <v/>
      </c>
    </row>
    <row r="74">
      <c r="A74" s="42" t="inlineStr">
        <is>
          <t>Reached 79% (OTE ends)</t>
        </is>
      </c>
      <c r="B74" s="43">
        <f>IFERROR((COUNTIFS('CPI Log'!$A$4:$A$1000,"&gt;="&amp;$C$3,'CPI Log'!$A$4:$A$1000,"&lt;="&amp;$E$3,'CPI Log'!$S$4:$S$1000,"&gt;=79"))/(B$76),"–")</f>
        <v/>
      </c>
      <c r="C74" s="43">
        <f>IFERROR((COUNTIFS('CPI Log'!$A$4:$A$1000,"&gt;="&amp;$C$3,'CPI Log'!$A$4:$A$1000,"&lt;="&amp;$E$3,'CPI Log'!$S$4:$S$1000,"&gt;=79",'CPI Log'!$V$4:$V$1000,"Continued"))/(C$76),"–")</f>
        <v/>
      </c>
    </row>
    <row r="75">
      <c r="A75" s="42" t="inlineStr">
        <is>
          <t>Reached 100% (back to the 8:30 open)</t>
        </is>
      </c>
      <c r="B75" s="43">
        <f>IFERROR((COUNTIFS('CPI Log'!$A$4:$A$1000,"&gt;="&amp;$C$3,'CPI Log'!$A$4:$A$1000,"&lt;="&amp;$E$3,'CPI Log'!$S$4:$S$1000,"&gt;=100"))/(B$76),"–")</f>
        <v/>
      </c>
    </row>
    <row r="76">
      <c r="A76" s="44" t="inlineStr">
        <is>
          <t>n (releases)</t>
        </is>
      </c>
      <c r="B76" s="45">
        <f>COUNTIFS('CPI Log'!$A$4:$A$1000,"&gt;="&amp;$C$3,'CPI Log'!$A$4:$A$1000,"&lt;="&amp;$E$3,'CPI Log'!$S$4:$S$1000,"&gt;=0")</f>
        <v/>
      </c>
      <c r="C76" s="45">
        <f>COUNTIFS('CPI Log'!$A$4:$A$1000,"&gt;="&amp;$C$3,'CPI Log'!$A$4:$A$1000,"&lt;="&amp;$E$3,'CPI Log'!$S$4:$S$1000,"&gt;=0",'CPI Log'!$V$4:$V$1000,"Continued")</f>
        <v/>
      </c>
    </row>
    <row r="79" ht="20" customHeight="1">
      <c r="A79" s="51" t="inlineStr">
        <is>
          <t>7 · Did NQ move the 'logical' way for the CPI number?</t>
        </is>
      </c>
    </row>
    <row r="80" ht="26" customHeight="1">
      <c r="A80" s="39" t="inlineStr">
        <is>
          <t>With data = Hotter → Main Move Down, or Cooler → Main Move Up. In line / Mixed are left out.</t>
        </is>
      </c>
    </row>
    <row r="81" ht="30" customHeight="1">
      <c r="A81" s="52" t="inlineStr">
        <is>
          <t>Main move vs CPI</t>
        </is>
      </c>
      <c r="B81" s="53" t="inlineStr">
        <is>
          <t>#</t>
        </is>
      </c>
      <c r="C81" s="53" t="inlineStr">
        <is>
          <t>%</t>
        </is>
      </c>
    </row>
    <row r="82">
      <c r="A82" s="42" t="inlineStr">
        <is>
          <t>With data</t>
        </is>
      </c>
      <c r="B82" s="46">
        <f>COUNTIFS('CPI Log'!$A$4:$A$1000,"&gt;="&amp;$C$3,'CPI Log'!$A$4:$A$1000,"&lt;="&amp;$E$3,'CPI Log'!$M$4:$M$1000,$A82)</f>
        <v/>
      </c>
      <c r="C82" s="43">
        <f>IFERROR(B82/B$84,"–")</f>
        <v/>
      </c>
    </row>
    <row r="83">
      <c r="A83" s="42" t="inlineStr">
        <is>
          <t>Against data</t>
        </is>
      </c>
      <c r="B83" s="46">
        <f>COUNTIFS('CPI Log'!$A$4:$A$1000,"&gt;="&amp;$C$3,'CPI Log'!$A$4:$A$1000,"&lt;="&amp;$E$3,'CPI Log'!$M$4:$M$1000,$A83)</f>
        <v/>
      </c>
      <c r="C83" s="43">
        <f>IFERROR(B83/B$84,"–")</f>
        <v/>
      </c>
    </row>
    <row r="84">
      <c r="A84" s="44" t="inlineStr">
        <is>
          <t>n (Hotter or Cooler)</t>
        </is>
      </c>
      <c r="B84" s="45">
        <f>SUM(B82:B83)</f>
        <v/>
      </c>
    </row>
    <row r="86" ht="30" customHeight="1">
      <c r="A86" s="52" t="inlineStr">
        <is>
          <t>CPI vs forecast</t>
        </is>
      </c>
      <c r="B86" s="53" t="inlineStr">
        <is>
          <t>Releases</t>
        </is>
      </c>
      <c r="C86" s="53" t="inlineStr">
        <is>
          <t>Main move Up</t>
        </is>
      </c>
      <c r="D86" s="53" t="inlineStr">
        <is>
          <t>Main move Down</t>
        </is>
      </c>
    </row>
    <row r="87">
      <c r="A87" s="42" t="inlineStr">
        <is>
          <t>Hotter</t>
        </is>
      </c>
      <c r="B87" s="46">
        <f>COUNTIFS('CPI Log'!$A$4:$A$1000,"&gt;="&amp;$C$3,'CPI Log'!$A$4:$A$1000,"&lt;="&amp;$E$3,'CPI Log'!$L$4:$L$1000,$A87,'CPI Log'!$E$4:$E$1000,"Up")+COUNTIFS('CPI Log'!$A$4:$A$1000,"&gt;="&amp;$C$3,'CPI Log'!$A$4:$A$1000,"&lt;="&amp;$E$3,'CPI Log'!$L$4:$L$1000,$A87,'CPI Log'!$E$4:$E$1000,"Down")</f>
        <v/>
      </c>
      <c r="C87" s="43">
        <f>IFERROR((COUNTIFS('CPI Log'!$A$4:$A$1000,"&gt;="&amp;$C$3,'CPI Log'!$A$4:$A$1000,"&lt;="&amp;$E$3,'CPI Log'!$L$4:$L$1000,$A87,'CPI Log'!$E$4:$E$1000,"Up"))/(B87),"–")</f>
        <v/>
      </c>
      <c r="D87" s="43">
        <f>IFERROR((COUNTIFS('CPI Log'!$A$4:$A$1000,"&gt;="&amp;$C$3,'CPI Log'!$A$4:$A$1000,"&lt;="&amp;$E$3,'CPI Log'!$L$4:$L$1000,$A87,'CPI Log'!$E$4:$E$1000,"Down"))/(B87),"–")</f>
        <v/>
      </c>
    </row>
    <row r="88">
      <c r="A88" s="42" t="inlineStr">
        <is>
          <t>Cooler</t>
        </is>
      </c>
      <c r="B88" s="46">
        <f>COUNTIFS('CPI Log'!$A$4:$A$1000,"&gt;="&amp;$C$3,'CPI Log'!$A$4:$A$1000,"&lt;="&amp;$E$3,'CPI Log'!$L$4:$L$1000,$A88,'CPI Log'!$E$4:$E$1000,"Up")+COUNTIFS('CPI Log'!$A$4:$A$1000,"&gt;="&amp;$C$3,'CPI Log'!$A$4:$A$1000,"&lt;="&amp;$E$3,'CPI Log'!$L$4:$L$1000,$A88,'CPI Log'!$E$4:$E$1000,"Down")</f>
        <v/>
      </c>
      <c r="C88" s="43">
        <f>IFERROR((COUNTIFS('CPI Log'!$A$4:$A$1000,"&gt;="&amp;$C$3,'CPI Log'!$A$4:$A$1000,"&lt;="&amp;$E$3,'CPI Log'!$L$4:$L$1000,$A88,'CPI Log'!$E$4:$E$1000,"Up"))/(B88),"–")</f>
        <v/>
      </c>
      <c r="D88" s="43">
        <f>IFERROR((COUNTIFS('CPI Log'!$A$4:$A$1000,"&gt;="&amp;$C$3,'CPI Log'!$A$4:$A$1000,"&lt;="&amp;$E$3,'CPI Log'!$L$4:$L$1000,$A88,'CPI Log'!$E$4:$E$1000,"Down"))/(B88),"–")</f>
        <v/>
      </c>
    </row>
    <row r="89">
      <c r="A89" s="42" t="inlineStr">
        <is>
          <t>In line</t>
        </is>
      </c>
      <c r="B89" s="46">
        <f>COUNTIFS('CPI Log'!$A$4:$A$1000,"&gt;="&amp;$C$3,'CPI Log'!$A$4:$A$1000,"&lt;="&amp;$E$3,'CPI Log'!$L$4:$L$1000,$A89,'CPI Log'!$E$4:$E$1000,"Up")+COUNTIFS('CPI Log'!$A$4:$A$1000,"&gt;="&amp;$C$3,'CPI Log'!$A$4:$A$1000,"&lt;="&amp;$E$3,'CPI Log'!$L$4:$L$1000,$A89,'CPI Log'!$E$4:$E$1000,"Down")</f>
        <v/>
      </c>
      <c r="C89" s="43">
        <f>IFERROR((COUNTIFS('CPI Log'!$A$4:$A$1000,"&gt;="&amp;$C$3,'CPI Log'!$A$4:$A$1000,"&lt;="&amp;$E$3,'CPI Log'!$L$4:$L$1000,$A89,'CPI Log'!$E$4:$E$1000,"Up"))/(B89),"–")</f>
        <v/>
      </c>
      <c r="D89" s="43">
        <f>IFERROR((COUNTIFS('CPI Log'!$A$4:$A$1000,"&gt;="&amp;$C$3,'CPI Log'!$A$4:$A$1000,"&lt;="&amp;$E$3,'CPI Log'!$L$4:$L$1000,$A89,'CPI Log'!$E$4:$E$1000,"Down"))/(B89),"–")</f>
        <v/>
      </c>
    </row>
    <row r="90">
      <c r="A90" s="42" t="inlineStr">
        <is>
          <t>Mixed</t>
        </is>
      </c>
      <c r="B90" s="46">
        <f>COUNTIFS('CPI Log'!$A$4:$A$1000,"&gt;="&amp;$C$3,'CPI Log'!$A$4:$A$1000,"&lt;="&amp;$E$3,'CPI Log'!$L$4:$L$1000,$A90,'CPI Log'!$E$4:$E$1000,"Up")+COUNTIFS('CPI Log'!$A$4:$A$1000,"&gt;="&amp;$C$3,'CPI Log'!$A$4:$A$1000,"&lt;="&amp;$E$3,'CPI Log'!$L$4:$L$1000,$A90,'CPI Log'!$E$4:$E$1000,"Down")</f>
        <v/>
      </c>
      <c r="C90" s="43">
        <f>IFERROR((COUNTIFS('CPI Log'!$A$4:$A$1000,"&gt;="&amp;$C$3,'CPI Log'!$A$4:$A$1000,"&lt;="&amp;$E$3,'CPI Log'!$L$4:$L$1000,$A90,'CPI Log'!$E$4:$E$1000,"Up"))/(B90),"–")</f>
        <v/>
      </c>
      <c r="D90" s="43">
        <f>IFERROR((COUNTIFS('CPI Log'!$A$4:$A$1000,"&gt;="&amp;$C$3,'CPI Log'!$A$4:$A$1000,"&lt;="&amp;$E$3,'CPI Log'!$L$4:$L$1000,$A90,'CPI Log'!$E$4:$E$1000,"Down"))/(B90),"–")</f>
        <v/>
      </c>
    </row>
    <row r="93" ht="20" customHeight="1">
      <c r="A93" s="54" t="inlineStr">
        <is>
          <t>8 · Average size in points (your original columns)</t>
        </is>
      </c>
    </row>
    <row r="94" ht="26" customHeight="1">
      <c r="A94" s="39" t="inlineStr">
        <is>
          <t>Only real numbers are averaged - cells with text like 'Same' are skipped.</t>
        </is>
      </c>
    </row>
    <row r="95" ht="30" customHeight="1">
      <c r="A95" s="55" t="inlineStr">
        <is>
          <t>Average (points)</t>
        </is>
      </c>
      <c r="B95" s="56" t="inlineStr">
        <is>
          <t>All</t>
        </is>
      </c>
      <c r="C95" s="56" t="inlineStr">
        <is>
          <t>Main move Up</t>
        </is>
      </c>
      <c r="D95" s="56" t="inlineStr">
        <is>
          <t>Main move Down</t>
        </is>
      </c>
    </row>
    <row r="96">
      <c r="A96" s="42" t="inlineStr">
        <is>
          <t>Wick pts (when there was a wick)</t>
        </is>
      </c>
      <c r="B96" s="57">
        <f>IFERROR(AVERAGEIFS('CPI Log'!$D$4:$D$1000,'CPI Log'!$A$4:$A$1000,"&gt;="&amp;$C$3,'CPI Log'!$A$4:$A$1000,"&lt;="&amp;$E$3,'CPI Log'!$D$4:$D$1000,"&gt;-1000000"),"–")</f>
        <v/>
      </c>
      <c r="C96" s="57">
        <f>IFERROR(AVERAGEIFS('CPI Log'!$D$4:$D$1000,'CPI Log'!$A$4:$A$1000,"&gt;="&amp;$C$3,'CPI Log'!$A$4:$A$1000,"&lt;="&amp;$E$3,'CPI Log'!$D$4:$D$1000,"&gt;-1000000",'CPI Log'!$E$4:$E$1000,"Up"),"–")</f>
        <v/>
      </c>
      <c r="D96" s="57">
        <f>IFERROR(AVERAGEIFS('CPI Log'!$D$4:$D$1000,'CPI Log'!$A$4:$A$1000,"&gt;="&amp;$C$3,'CPI Log'!$A$4:$A$1000,"&lt;="&amp;$E$3,'CPI Log'!$D$4:$D$1000,"&gt;-1000000",'CPI Log'!$E$4:$E$1000,"Down"),"–")</f>
        <v/>
      </c>
    </row>
    <row r="97">
      <c r="A97" s="42" t="inlineStr">
        <is>
          <t>15sec move</t>
        </is>
      </c>
      <c r="B97" s="57">
        <f>IFERROR(AVERAGEIFS('CPI Log'!$F$4:$F$1000,'CPI Log'!$A$4:$A$1000,"&gt;="&amp;$C$3,'CPI Log'!$A$4:$A$1000,"&lt;="&amp;$E$3,'CPI Log'!$F$4:$F$1000,"&gt;-1000000"),"–")</f>
        <v/>
      </c>
      <c r="C97" s="57">
        <f>IFERROR(AVERAGEIFS('CPI Log'!$F$4:$F$1000,'CPI Log'!$A$4:$A$1000,"&gt;="&amp;$C$3,'CPI Log'!$A$4:$A$1000,"&lt;="&amp;$E$3,'CPI Log'!$F$4:$F$1000,"&gt;-1000000",'CPI Log'!$E$4:$E$1000,"Up"),"–")</f>
        <v/>
      </c>
      <c r="D97" s="57">
        <f>IFERROR(AVERAGEIFS('CPI Log'!$F$4:$F$1000,'CPI Log'!$A$4:$A$1000,"&gt;="&amp;$C$3,'CPI Log'!$A$4:$A$1000,"&lt;="&amp;$E$3,'CPI Log'!$F$4:$F$1000,"&gt;-1000000",'CPI Log'!$E$4:$E$1000,"Down"),"–")</f>
        <v/>
      </c>
    </row>
    <row r="98">
      <c r="A98" s="42" t="inlineStr">
        <is>
          <t>30sec move</t>
        </is>
      </c>
      <c r="B98" s="57">
        <f>IFERROR(AVERAGEIFS('CPI Log'!$G$4:$G$1000,'CPI Log'!$A$4:$A$1000,"&gt;="&amp;$C$3,'CPI Log'!$A$4:$A$1000,"&lt;="&amp;$E$3,'CPI Log'!$G$4:$G$1000,"&gt;-1000000"),"–")</f>
        <v/>
      </c>
      <c r="C98" s="57">
        <f>IFERROR(AVERAGEIFS('CPI Log'!$G$4:$G$1000,'CPI Log'!$A$4:$A$1000,"&gt;="&amp;$C$3,'CPI Log'!$A$4:$A$1000,"&lt;="&amp;$E$3,'CPI Log'!$G$4:$G$1000,"&gt;-1000000",'CPI Log'!$E$4:$E$1000,"Up"),"–")</f>
        <v/>
      </c>
      <c r="D98" s="57">
        <f>IFERROR(AVERAGEIFS('CPI Log'!$G$4:$G$1000,'CPI Log'!$A$4:$A$1000,"&gt;="&amp;$C$3,'CPI Log'!$A$4:$A$1000,"&lt;="&amp;$E$3,'CPI Log'!$G$4:$G$1000,"&gt;-1000000",'CPI Log'!$E$4:$E$1000,"Down"),"–")</f>
        <v/>
      </c>
    </row>
    <row r="99">
      <c r="A99" s="42" t="inlineStr">
        <is>
          <t>1min move</t>
        </is>
      </c>
      <c r="B99" s="57">
        <f>IFERROR(AVERAGEIFS('CPI Log'!$H$4:$H$1000,'CPI Log'!$A$4:$A$1000,"&gt;="&amp;$C$3,'CPI Log'!$A$4:$A$1000,"&lt;="&amp;$E$3,'CPI Log'!$H$4:$H$1000,"&gt;-1000000"),"–")</f>
        <v/>
      </c>
      <c r="C99" s="57">
        <f>IFERROR(AVERAGEIFS('CPI Log'!$H$4:$H$1000,'CPI Log'!$A$4:$A$1000,"&gt;="&amp;$C$3,'CPI Log'!$A$4:$A$1000,"&lt;="&amp;$E$3,'CPI Log'!$H$4:$H$1000,"&gt;-1000000",'CPI Log'!$E$4:$E$1000,"Up"),"–")</f>
        <v/>
      </c>
      <c r="D99" s="57">
        <f>IFERROR(AVERAGEIFS('CPI Log'!$H$4:$H$1000,'CPI Log'!$A$4:$A$1000,"&gt;="&amp;$C$3,'CPI Log'!$A$4:$A$1000,"&lt;="&amp;$E$3,'CPI Log'!$H$4:$H$1000,"&gt;-1000000",'CPI Log'!$E$4:$E$1000,"Down"),"–")</f>
        <v/>
      </c>
    </row>
    <row r="100">
      <c r="A100" s="42" t="inlineStr">
        <is>
          <t>Scam Wick (15 sec before)</t>
        </is>
      </c>
      <c r="B100" s="57">
        <f>IFERROR(AVERAGEIFS('CPI Log'!$J$4:$J$1000,'CPI Log'!$A$4:$A$1000,"&gt;="&amp;$C$3,'CPI Log'!$A$4:$A$1000,"&lt;="&amp;$E$3,'CPI Log'!$J$4:$J$1000,"&gt;-1000000"),"–")</f>
        <v/>
      </c>
      <c r="C100" s="57">
        <f>IFERROR(AVERAGEIFS('CPI Log'!$J$4:$J$1000,'CPI Log'!$A$4:$A$1000,"&gt;="&amp;$C$3,'CPI Log'!$A$4:$A$1000,"&lt;="&amp;$E$3,'CPI Log'!$J$4:$J$1000,"&gt;-1000000",'CPI Log'!$E$4:$E$1000,"Up"),"–")</f>
        <v/>
      </c>
      <c r="D100" s="57">
        <f>IFERROR(AVERAGEIFS('CPI Log'!$J$4:$J$1000,'CPI Log'!$A$4:$A$1000,"&gt;="&amp;$C$3,'CPI Log'!$A$4:$A$1000,"&lt;="&amp;$E$3,'CPI Log'!$J$4:$J$1000,"&gt;-1000000",'CPI Log'!$E$4:$E$1000,"Down"),"–")</f>
        <v/>
      </c>
    </row>
    <row r="103" ht="20" customHeight="1">
      <c r="A103" s="54" t="inlineStr">
        <is>
          <t>9 · Straddle results</t>
        </is>
      </c>
    </row>
    <row r="104" ht="26" customHeight="1">
      <c r="A104" s="39" t="inlineStr">
        <is>
          <t>Chart backtests don't show news slippage/spread - real fills on stop orders are usually worse.</t>
        </is>
      </c>
    </row>
    <row r="105" ht="30" customHeight="1">
      <c r="A105" s="55" t="inlineStr">
        <is>
          <t>Result</t>
        </is>
      </c>
      <c r="B105" s="56" t="inlineStr">
        <is>
          <t>#</t>
        </is>
      </c>
      <c r="C105" s="56" t="inlineStr">
        <is>
          <t>%</t>
        </is>
      </c>
    </row>
    <row r="106">
      <c r="A106" s="42" t="inlineStr">
        <is>
          <t>TP</t>
        </is>
      </c>
      <c r="B106" s="46">
        <f>COUNTIFS('CPI Log'!$A$4:$A$1000,"&gt;="&amp;$C$3,'CPI Log'!$A$4:$A$1000,"&lt;="&amp;$E$3,'CPI Log'!$I$4:$I$1000,$A106)</f>
        <v/>
      </c>
      <c r="C106" s="43">
        <f>IFERROR(B106/B$109,"–")</f>
        <v/>
      </c>
    </row>
    <row r="107">
      <c r="A107" s="42" t="inlineStr">
        <is>
          <t>SL</t>
        </is>
      </c>
      <c r="B107" s="46">
        <f>COUNTIFS('CPI Log'!$A$4:$A$1000,"&gt;="&amp;$C$3,'CPI Log'!$A$4:$A$1000,"&lt;="&amp;$E$3,'CPI Log'!$I$4:$I$1000,$A107)</f>
        <v/>
      </c>
      <c r="C107" s="43">
        <f>IFERROR(B107/B$109,"–")</f>
        <v/>
      </c>
    </row>
    <row r="108">
      <c r="A108" s="42" t="inlineStr">
        <is>
          <t>BE</t>
        </is>
      </c>
      <c r="B108" s="46">
        <f>COUNTIFS('CPI Log'!$A$4:$A$1000,"&gt;="&amp;$C$3,'CPI Log'!$A$4:$A$1000,"&lt;="&amp;$E$3,'CPI Log'!$I$4:$I$1000,$A108)</f>
        <v/>
      </c>
      <c r="C108" s="43">
        <f>IFERROR(B108/B$109,"–")</f>
        <v/>
      </c>
    </row>
    <row r="109">
      <c r="A109" s="44" t="inlineStr">
        <is>
          <t>n (N/A not counted)</t>
        </is>
      </c>
      <c r="B109" s="45">
        <f>SUM(B106:B108)</f>
        <v/>
      </c>
    </row>
    <row r="112" ht="20" customHeight="1">
      <c r="A112" s="58" t="inlineStr">
        <is>
          <t>10 · ICT: liquidity taken by the MAIN MOVE (by 8:45) → what happened after the 1st minute?</t>
        </is>
      </c>
    </row>
    <row r="113" ht="30" customHeight="1">
      <c r="A113" s="59" t="inlineStr">
        <is>
          <t>Biggest level taken</t>
        </is>
      </c>
      <c r="B113" s="60" t="inlineStr">
        <is>
          <t>n</t>
        </is>
      </c>
      <c r="C113" s="60" t="inlineStr">
        <is>
          <t>Continued</t>
        </is>
      </c>
      <c r="D113" s="60" t="inlineStr">
        <is>
          <t>Back to open</t>
        </is>
      </c>
      <c r="E113" s="60" t="inlineStr">
        <is>
          <t>Partial retrace</t>
        </is>
      </c>
      <c r="F113" s="60" t="inlineStr">
        <is>
          <t>Stalled / chop</t>
        </is>
      </c>
    </row>
    <row r="114">
      <c r="A114" s="42" t="inlineStr">
        <is>
          <t>None</t>
        </is>
      </c>
      <c r="B114" s="45">
        <f>COUNTIFS('CPI Log'!$A$4:$A$1000,"&gt;="&amp;$C$3,'CPI Log'!$A$4:$A$1000,"&lt;="&amp;$E$3,'CPI Log'!$AA$4:$AA$1000,$A114,'CPI Log'!$V$4:$V$1000,"Continued")+COUNTIFS('CPI Log'!$A$4:$A$1000,"&gt;="&amp;$C$3,'CPI Log'!$A$4:$A$1000,"&lt;="&amp;$E$3,'CPI Log'!$AA$4:$AA$1000,$A114,'CPI Log'!$V$4:$V$1000,"Back to open")+COUNTIFS('CPI Log'!$A$4:$A$1000,"&gt;="&amp;$C$3,'CPI Log'!$A$4:$A$1000,"&lt;="&amp;$E$3,'CPI Log'!$AA$4:$AA$1000,$A114,'CPI Log'!$V$4:$V$1000,"Partial retrace")+COUNTIFS('CPI Log'!$A$4:$A$1000,"&gt;="&amp;$C$3,'CPI Log'!$A$4:$A$1000,"&lt;="&amp;$E$3,'CPI Log'!$AA$4:$AA$1000,$A114,'CPI Log'!$V$4:$V$1000,"Stalled / chop")</f>
        <v/>
      </c>
      <c r="C114" s="43">
        <f>IFERROR((COUNTIFS('CPI Log'!$A$4:$A$1000,"&gt;="&amp;$C$3,'CPI Log'!$A$4:$A$1000,"&lt;="&amp;$E$3,'CPI Log'!$AA$4:$AA$1000,$A114,'CPI Log'!$V$4:$V$1000,"Continued"))/($B114),"–")</f>
        <v/>
      </c>
      <c r="D114" s="43">
        <f>IFERROR((COUNTIFS('CPI Log'!$A$4:$A$1000,"&gt;="&amp;$C$3,'CPI Log'!$A$4:$A$1000,"&lt;="&amp;$E$3,'CPI Log'!$AA$4:$AA$1000,$A114,'CPI Log'!$V$4:$V$1000,"Back to open"))/($B114),"–")</f>
        <v/>
      </c>
      <c r="E114" s="43">
        <f>IFERROR((COUNTIFS('CPI Log'!$A$4:$A$1000,"&gt;="&amp;$C$3,'CPI Log'!$A$4:$A$1000,"&lt;="&amp;$E$3,'CPI Log'!$AA$4:$AA$1000,$A114,'CPI Log'!$V$4:$V$1000,"Partial retrace"))/($B114),"–")</f>
        <v/>
      </c>
      <c r="F114" s="43">
        <f>IFERROR((COUNTIFS('CPI Log'!$A$4:$A$1000,"&gt;="&amp;$C$3,'CPI Log'!$A$4:$A$1000,"&lt;="&amp;$E$3,'CPI Log'!$AA$4:$AA$1000,$A114,'CPI Log'!$V$4:$V$1000,"Stalled / chop"))/($B114),"–")</f>
        <v/>
      </c>
    </row>
    <row r="115">
      <c r="A115" s="42" t="inlineStr">
        <is>
          <t>Pre-news high/low</t>
        </is>
      </c>
      <c r="B115" s="45">
        <f>COUNTIFS('CPI Log'!$A$4:$A$1000,"&gt;="&amp;$C$3,'CPI Log'!$A$4:$A$1000,"&lt;="&amp;$E$3,'CPI Log'!$AA$4:$AA$1000,$A115,'CPI Log'!$V$4:$V$1000,"Continued")+COUNTIFS('CPI Log'!$A$4:$A$1000,"&gt;="&amp;$C$3,'CPI Log'!$A$4:$A$1000,"&lt;="&amp;$E$3,'CPI Log'!$AA$4:$AA$1000,$A115,'CPI Log'!$V$4:$V$1000,"Back to open")+COUNTIFS('CPI Log'!$A$4:$A$1000,"&gt;="&amp;$C$3,'CPI Log'!$A$4:$A$1000,"&lt;="&amp;$E$3,'CPI Log'!$AA$4:$AA$1000,$A115,'CPI Log'!$V$4:$V$1000,"Partial retrace")+COUNTIFS('CPI Log'!$A$4:$A$1000,"&gt;="&amp;$C$3,'CPI Log'!$A$4:$A$1000,"&lt;="&amp;$E$3,'CPI Log'!$AA$4:$AA$1000,$A115,'CPI Log'!$V$4:$V$1000,"Stalled / chop")</f>
        <v/>
      </c>
      <c r="C115" s="43">
        <f>IFERROR((COUNTIFS('CPI Log'!$A$4:$A$1000,"&gt;="&amp;$C$3,'CPI Log'!$A$4:$A$1000,"&lt;="&amp;$E$3,'CPI Log'!$AA$4:$AA$1000,$A115,'CPI Log'!$V$4:$V$1000,"Continued"))/($B115),"–")</f>
        <v/>
      </c>
      <c r="D115" s="43">
        <f>IFERROR((COUNTIFS('CPI Log'!$A$4:$A$1000,"&gt;="&amp;$C$3,'CPI Log'!$A$4:$A$1000,"&lt;="&amp;$E$3,'CPI Log'!$AA$4:$AA$1000,$A115,'CPI Log'!$V$4:$V$1000,"Back to open"))/($B115),"–")</f>
        <v/>
      </c>
      <c r="E115" s="43">
        <f>IFERROR((COUNTIFS('CPI Log'!$A$4:$A$1000,"&gt;="&amp;$C$3,'CPI Log'!$A$4:$A$1000,"&lt;="&amp;$E$3,'CPI Log'!$AA$4:$AA$1000,$A115,'CPI Log'!$V$4:$V$1000,"Partial retrace"))/($B115),"–")</f>
        <v/>
      </c>
      <c r="F115" s="43">
        <f>IFERROR((COUNTIFS('CPI Log'!$A$4:$A$1000,"&gt;="&amp;$C$3,'CPI Log'!$A$4:$A$1000,"&lt;="&amp;$E$3,'CPI Log'!$AA$4:$AA$1000,$A115,'CPI Log'!$V$4:$V$1000,"Stalled / chop"))/($B115),"–")</f>
        <v/>
      </c>
    </row>
    <row r="116">
      <c r="A116" s="42" t="inlineStr">
        <is>
          <t>Asia high/low</t>
        </is>
      </c>
      <c r="B116" s="45">
        <f>COUNTIFS('CPI Log'!$A$4:$A$1000,"&gt;="&amp;$C$3,'CPI Log'!$A$4:$A$1000,"&lt;="&amp;$E$3,'CPI Log'!$AA$4:$AA$1000,$A116,'CPI Log'!$V$4:$V$1000,"Continued")+COUNTIFS('CPI Log'!$A$4:$A$1000,"&gt;="&amp;$C$3,'CPI Log'!$A$4:$A$1000,"&lt;="&amp;$E$3,'CPI Log'!$AA$4:$AA$1000,$A116,'CPI Log'!$V$4:$V$1000,"Back to open")+COUNTIFS('CPI Log'!$A$4:$A$1000,"&gt;="&amp;$C$3,'CPI Log'!$A$4:$A$1000,"&lt;="&amp;$E$3,'CPI Log'!$AA$4:$AA$1000,$A116,'CPI Log'!$V$4:$V$1000,"Partial retrace")+COUNTIFS('CPI Log'!$A$4:$A$1000,"&gt;="&amp;$C$3,'CPI Log'!$A$4:$A$1000,"&lt;="&amp;$E$3,'CPI Log'!$AA$4:$AA$1000,$A116,'CPI Log'!$V$4:$V$1000,"Stalled / chop")</f>
        <v/>
      </c>
      <c r="C116" s="43">
        <f>IFERROR((COUNTIFS('CPI Log'!$A$4:$A$1000,"&gt;="&amp;$C$3,'CPI Log'!$A$4:$A$1000,"&lt;="&amp;$E$3,'CPI Log'!$AA$4:$AA$1000,$A116,'CPI Log'!$V$4:$V$1000,"Continued"))/($B116),"–")</f>
        <v/>
      </c>
      <c r="D116" s="43">
        <f>IFERROR((COUNTIFS('CPI Log'!$A$4:$A$1000,"&gt;="&amp;$C$3,'CPI Log'!$A$4:$A$1000,"&lt;="&amp;$E$3,'CPI Log'!$AA$4:$AA$1000,$A116,'CPI Log'!$V$4:$V$1000,"Back to open"))/($B116),"–")</f>
        <v/>
      </c>
      <c r="E116" s="43">
        <f>IFERROR((COUNTIFS('CPI Log'!$A$4:$A$1000,"&gt;="&amp;$C$3,'CPI Log'!$A$4:$A$1000,"&lt;="&amp;$E$3,'CPI Log'!$AA$4:$AA$1000,$A116,'CPI Log'!$V$4:$V$1000,"Partial retrace"))/($B116),"–")</f>
        <v/>
      </c>
      <c r="F116" s="43">
        <f>IFERROR((COUNTIFS('CPI Log'!$A$4:$A$1000,"&gt;="&amp;$C$3,'CPI Log'!$A$4:$A$1000,"&lt;="&amp;$E$3,'CPI Log'!$AA$4:$AA$1000,$A116,'CPI Log'!$V$4:$V$1000,"Stalled / chop"))/($B116),"–")</f>
        <v/>
      </c>
    </row>
    <row r="117">
      <c r="A117" s="42" t="inlineStr">
        <is>
          <t>London high/low</t>
        </is>
      </c>
      <c r="B117" s="45">
        <f>COUNTIFS('CPI Log'!$A$4:$A$1000,"&gt;="&amp;$C$3,'CPI Log'!$A$4:$A$1000,"&lt;="&amp;$E$3,'CPI Log'!$AA$4:$AA$1000,$A117,'CPI Log'!$V$4:$V$1000,"Continued")+COUNTIFS('CPI Log'!$A$4:$A$1000,"&gt;="&amp;$C$3,'CPI Log'!$A$4:$A$1000,"&lt;="&amp;$E$3,'CPI Log'!$AA$4:$AA$1000,$A117,'CPI Log'!$V$4:$V$1000,"Back to open")+COUNTIFS('CPI Log'!$A$4:$A$1000,"&gt;="&amp;$C$3,'CPI Log'!$A$4:$A$1000,"&lt;="&amp;$E$3,'CPI Log'!$AA$4:$AA$1000,$A117,'CPI Log'!$V$4:$V$1000,"Partial retrace")+COUNTIFS('CPI Log'!$A$4:$A$1000,"&gt;="&amp;$C$3,'CPI Log'!$A$4:$A$1000,"&lt;="&amp;$E$3,'CPI Log'!$AA$4:$AA$1000,$A117,'CPI Log'!$V$4:$V$1000,"Stalled / chop")</f>
        <v/>
      </c>
      <c r="C117" s="43">
        <f>IFERROR((COUNTIFS('CPI Log'!$A$4:$A$1000,"&gt;="&amp;$C$3,'CPI Log'!$A$4:$A$1000,"&lt;="&amp;$E$3,'CPI Log'!$AA$4:$AA$1000,$A117,'CPI Log'!$V$4:$V$1000,"Continued"))/($B117),"–")</f>
        <v/>
      </c>
      <c r="D117" s="43">
        <f>IFERROR((COUNTIFS('CPI Log'!$A$4:$A$1000,"&gt;="&amp;$C$3,'CPI Log'!$A$4:$A$1000,"&lt;="&amp;$E$3,'CPI Log'!$AA$4:$AA$1000,$A117,'CPI Log'!$V$4:$V$1000,"Back to open"))/($B117),"–")</f>
        <v/>
      </c>
      <c r="E117" s="43">
        <f>IFERROR((COUNTIFS('CPI Log'!$A$4:$A$1000,"&gt;="&amp;$C$3,'CPI Log'!$A$4:$A$1000,"&lt;="&amp;$E$3,'CPI Log'!$AA$4:$AA$1000,$A117,'CPI Log'!$V$4:$V$1000,"Partial retrace"))/($B117),"–")</f>
        <v/>
      </c>
      <c r="F117" s="43">
        <f>IFERROR((COUNTIFS('CPI Log'!$A$4:$A$1000,"&gt;="&amp;$C$3,'CPI Log'!$A$4:$A$1000,"&lt;="&amp;$E$3,'CPI Log'!$AA$4:$AA$1000,$A117,'CPI Log'!$V$4:$V$1000,"Stalled / chop"))/($B117),"–")</f>
        <v/>
      </c>
    </row>
    <row r="118">
      <c r="A118" s="42" t="inlineStr">
        <is>
          <t>Prev day high/low</t>
        </is>
      </c>
      <c r="B118" s="45">
        <f>COUNTIFS('CPI Log'!$A$4:$A$1000,"&gt;="&amp;$C$3,'CPI Log'!$A$4:$A$1000,"&lt;="&amp;$E$3,'CPI Log'!$AA$4:$AA$1000,$A118,'CPI Log'!$V$4:$V$1000,"Continued")+COUNTIFS('CPI Log'!$A$4:$A$1000,"&gt;="&amp;$C$3,'CPI Log'!$A$4:$A$1000,"&lt;="&amp;$E$3,'CPI Log'!$AA$4:$AA$1000,$A118,'CPI Log'!$V$4:$V$1000,"Back to open")+COUNTIFS('CPI Log'!$A$4:$A$1000,"&gt;="&amp;$C$3,'CPI Log'!$A$4:$A$1000,"&lt;="&amp;$E$3,'CPI Log'!$AA$4:$AA$1000,$A118,'CPI Log'!$V$4:$V$1000,"Partial retrace")+COUNTIFS('CPI Log'!$A$4:$A$1000,"&gt;="&amp;$C$3,'CPI Log'!$A$4:$A$1000,"&lt;="&amp;$E$3,'CPI Log'!$AA$4:$AA$1000,$A118,'CPI Log'!$V$4:$V$1000,"Stalled / chop")</f>
        <v/>
      </c>
      <c r="C118" s="43">
        <f>IFERROR((COUNTIFS('CPI Log'!$A$4:$A$1000,"&gt;="&amp;$C$3,'CPI Log'!$A$4:$A$1000,"&lt;="&amp;$E$3,'CPI Log'!$AA$4:$AA$1000,$A118,'CPI Log'!$V$4:$V$1000,"Continued"))/($B118),"–")</f>
        <v/>
      </c>
      <c r="D118" s="43">
        <f>IFERROR((COUNTIFS('CPI Log'!$A$4:$A$1000,"&gt;="&amp;$C$3,'CPI Log'!$A$4:$A$1000,"&lt;="&amp;$E$3,'CPI Log'!$AA$4:$AA$1000,$A118,'CPI Log'!$V$4:$V$1000,"Back to open"))/($B118),"–")</f>
        <v/>
      </c>
      <c r="E118" s="43">
        <f>IFERROR((COUNTIFS('CPI Log'!$A$4:$A$1000,"&gt;="&amp;$C$3,'CPI Log'!$A$4:$A$1000,"&lt;="&amp;$E$3,'CPI Log'!$AA$4:$AA$1000,$A118,'CPI Log'!$V$4:$V$1000,"Partial retrace"))/($B118),"–")</f>
        <v/>
      </c>
      <c r="F118" s="43">
        <f>IFERROR((COUNTIFS('CPI Log'!$A$4:$A$1000,"&gt;="&amp;$C$3,'CPI Log'!$A$4:$A$1000,"&lt;="&amp;$E$3,'CPI Log'!$AA$4:$AA$1000,$A118,'CPI Log'!$V$4:$V$1000,"Stalled / chop"))/($B118),"–")</f>
        <v/>
      </c>
    </row>
    <row r="119">
      <c r="A119" s="42" t="inlineStr">
        <is>
          <t>Prev week high/low</t>
        </is>
      </c>
      <c r="B119" s="45">
        <f>COUNTIFS('CPI Log'!$A$4:$A$1000,"&gt;="&amp;$C$3,'CPI Log'!$A$4:$A$1000,"&lt;="&amp;$E$3,'CPI Log'!$AA$4:$AA$1000,$A119,'CPI Log'!$V$4:$V$1000,"Continued")+COUNTIFS('CPI Log'!$A$4:$A$1000,"&gt;="&amp;$C$3,'CPI Log'!$A$4:$A$1000,"&lt;="&amp;$E$3,'CPI Log'!$AA$4:$AA$1000,$A119,'CPI Log'!$V$4:$V$1000,"Back to open")+COUNTIFS('CPI Log'!$A$4:$A$1000,"&gt;="&amp;$C$3,'CPI Log'!$A$4:$A$1000,"&lt;="&amp;$E$3,'CPI Log'!$AA$4:$AA$1000,$A119,'CPI Log'!$V$4:$V$1000,"Partial retrace")+COUNTIFS('CPI Log'!$A$4:$A$1000,"&gt;="&amp;$C$3,'CPI Log'!$A$4:$A$1000,"&lt;="&amp;$E$3,'CPI Log'!$AA$4:$AA$1000,$A119,'CPI Log'!$V$4:$V$1000,"Stalled / chop")</f>
        <v/>
      </c>
      <c r="C119" s="43">
        <f>IFERROR((COUNTIFS('CPI Log'!$A$4:$A$1000,"&gt;="&amp;$C$3,'CPI Log'!$A$4:$A$1000,"&lt;="&amp;$E$3,'CPI Log'!$AA$4:$AA$1000,$A119,'CPI Log'!$V$4:$V$1000,"Continued"))/($B119),"–")</f>
        <v/>
      </c>
      <c r="D119" s="43">
        <f>IFERROR((COUNTIFS('CPI Log'!$A$4:$A$1000,"&gt;="&amp;$C$3,'CPI Log'!$A$4:$A$1000,"&lt;="&amp;$E$3,'CPI Log'!$AA$4:$AA$1000,$A119,'CPI Log'!$V$4:$V$1000,"Back to open"))/($B119),"–")</f>
        <v/>
      </c>
      <c r="E119" s="43">
        <f>IFERROR((COUNTIFS('CPI Log'!$A$4:$A$1000,"&gt;="&amp;$C$3,'CPI Log'!$A$4:$A$1000,"&lt;="&amp;$E$3,'CPI Log'!$AA$4:$AA$1000,$A119,'CPI Log'!$V$4:$V$1000,"Partial retrace"))/($B119),"–")</f>
        <v/>
      </c>
      <c r="F119" s="43">
        <f>IFERROR((COUNTIFS('CPI Log'!$A$4:$A$1000,"&gt;="&amp;$C$3,'CPI Log'!$A$4:$A$1000,"&lt;="&amp;$E$3,'CPI Log'!$AA$4:$AA$1000,$A119,'CPI Log'!$V$4:$V$1000,"Stalled / chop"))/($B119),"–")</f>
        <v/>
      </c>
    </row>
    <row r="122" ht="20" customHeight="1">
      <c r="A122" s="58" t="inlineStr">
        <is>
          <t>11 · ICT: liquidity taken by the WICK → what happened after the 1st minute?</t>
        </is>
      </c>
    </row>
    <row r="123" ht="30" customHeight="1">
      <c r="A123" s="59" t="inlineStr">
        <is>
          <t>Biggest level taken</t>
        </is>
      </c>
      <c r="B123" s="60" t="inlineStr">
        <is>
          <t>n</t>
        </is>
      </c>
      <c r="C123" s="60" t="inlineStr">
        <is>
          <t>Continued</t>
        </is>
      </c>
      <c r="D123" s="60" t="inlineStr">
        <is>
          <t>Back to open</t>
        </is>
      </c>
      <c r="E123" s="60" t="inlineStr">
        <is>
          <t>Partial retrace</t>
        </is>
      </c>
      <c r="F123" s="60" t="inlineStr">
        <is>
          <t>Stalled / chop</t>
        </is>
      </c>
    </row>
    <row r="124">
      <c r="A124" s="42" t="inlineStr">
        <is>
          <t>None</t>
        </is>
      </c>
      <c r="B124" s="45">
        <f>COUNTIFS('CPI Log'!$A$4:$A$1000,"&gt;="&amp;$C$3,'CPI Log'!$A$4:$A$1000,"&lt;="&amp;$E$3,'CPI Log'!$Z$4:$Z$1000,$A124,'CPI Log'!$V$4:$V$1000,"Continued")+COUNTIFS('CPI Log'!$A$4:$A$1000,"&gt;="&amp;$C$3,'CPI Log'!$A$4:$A$1000,"&lt;="&amp;$E$3,'CPI Log'!$Z$4:$Z$1000,$A124,'CPI Log'!$V$4:$V$1000,"Back to open")+COUNTIFS('CPI Log'!$A$4:$A$1000,"&gt;="&amp;$C$3,'CPI Log'!$A$4:$A$1000,"&lt;="&amp;$E$3,'CPI Log'!$Z$4:$Z$1000,$A124,'CPI Log'!$V$4:$V$1000,"Partial retrace")+COUNTIFS('CPI Log'!$A$4:$A$1000,"&gt;="&amp;$C$3,'CPI Log'!$A$4:$A$1000,"&lt;="&amp;$E$3,'CPI Log'!$Z$4:$Z$1000,$A124,'CPI Log'!$V$4:$V$1000,"Stalled / chop")</f>
        <v/>
      </c>
      <c r="C124" s="43">
        <f>IFERROR((COUNTIFS('CPI Log'!$A$4:$A$1000,"&gt;="&amp;$C$3,'CPI Log'!$A$4:$A$1000,"&lt;="&amp;$E$3,'CPI Log'!$Z$4:$Z$1000,$A124,'CPI Log'!$V$4:$V$1000,"Continued"))/($B124),"–")</f>
        <v/>
      </c>
      <c r="D124" s="43">
        <f>IFERROR((COUNTIFS('CPI Log'!$A$4:$A$1000,"&gt;="&amp;$C$3,'CPI Log'!$A$4:$A$1000,"&lt;="&amp;$E$3,'CPI Log'!$Z$4:$Z$1000,$A124,'CPI Log'!$V$4:$V$1000,"Back to open"))/($B124),"–")</f>
        <v/>
      </c>
      <c r="E124" s="43">
        <f>IFERROR((COUNTIFS('CPI Log'!$A$4:$A$1000,"&gt;="&amp;$C$3,'CPI Log'!$A$4:$A$1000,"&lt;="&amp;$E$3,'CPI Log'!$Z$4:$Z$1000,$A124,'CPI Log'!$V$4:$V$1000,"Partial retrace"))/($B124),"–")</f>
        <v/>
      </c>
      <c r="F124" s="43">
        <f>IFERROR((COUNTIFS('CPI Log'!$A$4:$A$1000,"&gt;="&amp;$C$3,'CPI Log'!$A$4:$A$1000,"&lt;="&amp;$E$3,'CPI Log'!$Z$4:$Z$1000,$A124,'CPI Log'!$V$4:$V$1000,"Stalled / chop"))/($B124),"–")</f>
        <v/>
      </c>
    </row>
    <row r="125">
      <c r="A125" s="42" t="inlineStr">
        <is>
          <t>Pre-news high/low</t>
        </is>
      </c>
      <c r="B125" s="45">
        <f>COUNTIFS('CPI Log'!$A$4:$A$1000,"&gt;="&amp;$C$3,'CPI Log'!$A$4:$A$1000,"&lt;="&amp;$E$3,'CPI Log'!$Z$4:$Z$1000,$A125,'CPI Log'!$V$4:$V$1000,"Continued")+COUNTIFS('CPI Log'!$A$4:$A$1000,"&gt;="&amp;$C$3,'CPI Log'!$A$4:$A$1000,"&lt;="&amp;$E$3,'CPI Log'!$Z$4:$Z$1000,$A125,'CPI Log'!$V$4:$V$1000,"Back to open")+COUNTIFS('CPI Log'!$A$4:$A$1000,"&gt;="&amp;$C$3,'CPI Log'!$A$4:$A$1000,"&lt;="&amp;$E$3,'CPI Log'!$Z$4:$Z$1000,$A125,'CPI Log'!$V$4:$V$1000,"Partial retrace")+COUNTIFS('CPI Log'!$A$4:$A$1000,"&gt;="&amp;$C$3,'CPI Log'!$A$4:$A$1000,"&lt;="&amp;$E$3,'CPI Log'!$Z$4:$Z$1000,$A125,'CPI Log'!$V$4:$V$1000,"Stalled / chop")</f>
        <v/>
      </c>
      <c r="C125" s="43">
        <f>IFERROR((COUNTIFS('CPI Log'!$A$4:$A$1000,"&gt;="&amp;$C$3,'CPI Log'!$A$4:$A$1000,"&lt;="&amp;$E$3,'CPI Log'!$Z$4:$Z$1000,$A125,'CPI Log'!$V$4:$V$1000,"Continued"))/($B125),"–")</f>
        <v/>
      </c>
      <c r="D125" s="43">
        <f>IFERROR((COUNTIFS('CPI Log'!$A$4:$A$1000,"&gt;="&amp;$C$3,'CPI Log'!$A$4:$A$1000,"&lt;="&amp;$E$3,'CPI Log'!$Z$4:$Z$1000,$A125,'CPI Log'!$V$4:$V$1000,"Back to open"))/($B125),"–")</f>
        <v/>
      </c>
      <c r="E125" s="43">
        <f>IFERROR((COUNTIFS('CPI Log'!$A$4:$A$1000,"&gt;="&amp;$C$3,'CPI Log'!$A$4:$A$1000,"&lt;="&amp;$E$3,'CPI Log'!$Z$4:$Z$1000,$A125,'CPI Log'!$V$4:$V$1000,"Partial retrace"))/($B125),"–")</f>
        <v/>
      </c>
      <c r="F125" s="43">
        <f>IFERROR((COUNTIFS('CPI Log'!$A$4:$A$1000,"&gt;="&amp;$C$3,'CPI Log'!$A$4:$A$1000,"&lt;="&amp;$E$3,'CPI Log'!$Z$4:$Z$1000,$A125,'CPI Log'!$V$4:$V$1000,"Stalled / chop"))/($B125),"–")</f>
        <v/>
      </c>
    </row>
    <row r="126">
      <c r="A126" s="42" t="inlineStr">
        <is>
          <t>Asia high/low</t>
        </is>
      </c>
      <c r="B126" s="45">
        <f>COUNTIFS('CPI Log'!$A$4:$A$1000,"&gt;="&amp;$C$3,'CPI Log'!$A$4:$A$1000,"&lt;="&amp;$E$3,'CPI Log'!$Z$4:$Z$1000,$A126,'CPI Log'!$V$4:$V$1000,"Continued")+COUNTIFS('CPI Log'!$A$4:$A$1000,"&gt;="&amp;$C$3,'CPI Log'!$A$4:$A$1000,"&lt;="&amp;$E$3,'CPI Log'!$Z$4:$Z$1000,$A126,'CPI Log'!$V$4:$V$1000,"Back to open")+COUNTIFS('CPI Log'!$A$4:$A$1000,"&gt;="&amp;$C$3,'CPI Log'!$A$4:$A$1000,"&lt;="&amp;$E$3,'CPI Log'!$Z$4:$Z$1000,$A126,'CPI Log'!$V$4:$V$1000,"Partial retrace")+COUNTIFS('CPI Log'!$A$4:$A$1000,"&gt;="&amp;$C$3,'CPI Log'!$A$4:$A$1000,"&lt;="&amp;$E$3,'CPI Log'!$Z$4:$Z$1000,$A126,'CPI Log'!$V$4:$V$1000,"Stalled / chop")</f>
        <v/>
      </c>
      <c r="C126" s="43">
        <f>IFERROR((COUNTIFS('CPI Log'!$A$4:$A$1000,"&gt;="&amp;$C$3,'CPI Log'!$A$4:$A$1000,"&lt;="&amp;$E$3,'CPI Log'!$Z$4:$Z$1000,$A126,'CPI Log'!$V$4:$V$1000,"Continued"))/($B126),"–")</f>
        <v/>
      </c>
      <c r="D126" s="43">
        <f>IFERROR((COUNTIFS('CPI Log'!$A$4:$A$1000,"&gt;="&amp;$C$3,'CPI Log'!$A$4:$A$1000,"&lt;="&amp;$E$3,'CPI Log'!$Z$4:$Z$1000,$A126,'CPI Log'!$V$4:$V$1000,"Back to open"))/($B126),"–")</f>
        <v/>
      </c>
      <c r="E126" s="43">
        <f>IFERROR((COUNTIFS('CPI Log'!$A$4:$A$1000,"&gt;="&amp;$C$3,'CPI Log'!$A$4:$A$1000,"&lt;="&amp;$E$3,'CPI Log'!$Z$4:$Z$1000,$A126,'CPI Log'!$V$4:$V$1000,"Partial retrace"))/($B126),"–")</f>
        <v/>
      </c>
      <c r="F126" s="43">
        <f>IFERROR((COUNTIFS('CPI Log'!$A$4:$A$1000,"&gt;="&amp;$C$3,'CPI Log'!$A$4:$A$1000,"&lt;="&amp;$E$3,'CPI Log'!$Z$4:$Z$1000,$A126,'CPI Log'!$V$4:$V$1000,"Stalled / chop"))/($B126),"–")</f>
        <v/>
      </c>
    </row>
    <row r="127">
      <c r="A127" s="42" t="inlineStr">
        <is>
          <t>London high/low</t>
        </is>
      </c>
      <c r="B127" s="45">
        <f>COUNTIFS('CPI Log'!$A$4:$A$1000,"&gt;="&amp;$C$3,'CPI Log'!$A$4:$A$1000,"&lt;="&amp;$E$3,'CPI Log'!$Z$4:$Z$1000,$A127,'CPI Log'!$V$4:$V$1000,"Continued")+COUNTIFS('CPI Log'!$A$4:$A$1000,"&gt;="&amp;$C$3,'CPI Log'!$A$4:$A$1000,"&lt;="&amp;$E$3,'CPI Log'!$Z$4:$Z$1000,$A127,'CPI Log'!$V$4:$V$1000,"Back to open")+COUNTIFS('CPI Log'!$A$4:$A$1000,"&gt;="&amp;$C$3,'CPI Log'!$A$4:$A$1000,"&lt;="&amp;$E$3,'CPI Log'!$Z$4:$Z$1000,$A127,'CPI Log'!$V$4:$V$1000,"Partial retrace")+COUNTIFS('CPI Log'!$A$4:$A$1000,"&gt;="&amp;$C$3,'CPI Log'!$A$4:$A$1000,"&lt;="&amp;$E$3,'CPI Log'!$Z$4:$Z$1000,$A127,'CPI Log'!$V$4:$V$1000,"Stalled / chop")</f>
        <v/>
      </c>
      <c r="C127" s="43">
        <f>IFERROR((COUNTIFS('CPI Log'!$A$4:$A$1000,"&gt;="&amp;$C$3,'CPI Log'!$A$4:$A$1000,"&lt;="&amp;$E$3,'CPI Log'!$Z$4:$Z$1000,$A127,'CPI Log'!$V$4:$V$1000,"Continued"))/($B127),"–")</f>
        <v/>
      </c>
      <c r="D127" s="43">
        <f>IFERROR((COUNTIFS('CPI Log'!$A$4:$A$1000,"&gt;="&amp;$C$3,'CPI Log'!$A$4:$A$1000,"&lt;="&amp;$E$3,'CPI Log'!$Z$4:$Z$1000,$A127,'CPI Log'!$V$4:$V$1000,"Back to open"))/($B127),"–")</f>
        <v/>
      </c>
      <c r="E127" s="43">
        <f>IFERROR((COUNTIFS('CPI Log'!$A$4:$A$1000,"&gt;="&amp;$C$3,'CPI Log'!$A$4:$A$1000,"&lt;="&amp;$E$3,'CPI Log'!$Z$4:$Z$1000,$A127,'CPI Log'!$V$4:$V$1000,"Partial retrace"))/($B127),"–")</f>
        <v/>
      </c>
      <c r="F127" s="43">
        <f>IFERROR((COUNTIFS('CPI Log'!$A$4:$A$1000,"&gt;="&amp;$C$3,'CPI Log'!$A$4:$A$1000,"&lt;="&amp;$E$3,'CPI Log'!$Z$4:$Z$1000,$A127,'CPI Log'!$V$4:$V$1000,"Stalled / chop"))/($B127),"–")</f>
        <v/>
      </c>
    </row>
    <row r="128">
      <c r="A128" s="42" t="inlineStr">
        <is>
          <t>Prev day high/low</t>
        </is>
      </c>
      <c r="B128" s="45">
        <f>COUNTIFS('CPI Log'!$A$4:$A$1000,"&gt;="&amp;$C$3,'CPI Log'!$A$4:$A$1000,"&lt;="&amp;$E$3,'CPI Log'!$Z$4:$Z$1000,$A128,'CPI Log'!$V$4:$V$1000,"Continued")+COUNTIFS('CPI Log'!$A$4:$A$1000,"&gt;="&amp;$C$3,'CPI Log'!$A$4:$A$1000,"&lt;="&amp;$E$3,'CPI Log'!$Z$4:$Z$1000,$A128,'CPI Log'!$V$4:$V$1000,"Back to open")+COUNTIFS('CPI Log'!$A$4:$A$1000,"&gt;="&amp;$C$3,'CPI Log'!$A$4:$A$1000,"&lt;="&amp;$E$3,'CPI Log'!$Z$4:$Z$1000,$A128,'CPI Log'!$V$4:$V$1000,"Partial retrace")+COUNTIFS('CPI Log'!$A$4:$A$1000,"&gt;="&amp;$C$3,'CPI Log'!$A$4:$A$1000,"&lt;="&amp;$E$3,'CPI Log'!$Z$4:$Z$1000,$A128,'CPI Log'!$V$4:$V$1000,"Stalled / chop")</f>
        <v/>
      </c>
      <c r="C128" s="43">
        <f>IFERROR((COUNTIFS('CPI Log'!$A$4:$A$1000,"&gt;="&amp;$C$3,'CPI Log'!$A$4:$A$1000,"&lt;="&amp;$E$3,'CPI Log'!$Z$4:$Z$1000,$A128,'CPI Log'!$V$4:$V$1000,"Continued"))/($B128),"–")</f>
        <v/>
      </c>
      <c r="D128" s="43">
        <f>IFERROR((COUNTIFS('CPI Log'!$A$4:$A$1000,"&gt;="&amp;$C$3,'CPI Log'!$A$4:$A$1000,"&lt;="&amp;$E$3,'CPI Log'!$Z$4:$Z$1000,$A128,'CPI Log'!$V$4:$V$1000,"Back to open"))/($B128),"–")</f>
        <v/>
      </c>
      <c r="E128" s="43">
        <f>IFERROR((COUNTIFS('CPI Log'!$A$4:$A$1000,"&gt;="&amp;$C$3,'CPI Log'!$A$4:$A$1000,"&lt;="&amp;$E$3,'CPI Log'!$Z$4:$Z$1000,$A128,'CPI Log'!$V$4:$V$1000,"Partial retrace"))/($B128),"–")</f>
        <v/>
      </c>
      <c r="F128" s="43">
        <f>IFERROR((COUNTIFS('CPI Log'!$A$4:$A$1000,"&gt;="&amp;$C$3,'CPI Log'!$A$4:$A$1000,"&lt;="&amp;$E$3,'CPI Log'!$Z$4:$Z$1000,$A128,'CPI Log'!$V$4:$V$1000,"Stalled / chop"))/($B128),"–")</f>
        <v/>
      </c>
    </row>
    <row r="129">
      <c r="A129" s="42" t="inlineStr">
        <is>
          <t>Prev week high/low</t>
        </is>
      </c>
      <c r="B129" s="45">
        <f>COUNTIFS('CPI Log'!$A$4:$A$1000,"&gt;="&amp;$C$3,'CPI Log'!$A$4:$A$1000,"&lt;="&amp;$E$3,'CPI Log'!$Z$4:$Z$1000,$A129,'CPI Log'!$V$4:$V$1000,"Continued")+COUNTIFS('CPI Log'!$A$4:$A$1000,"&gt;="&amp;$C$3,'CPI Log'!$A$4:$A$1000,"&lt;="&amp;$E$3,'CPI Log'!$Z$4:$Z$1000,$A129,'CPI Log'!$V$4:$V$1000,"Back to open")+COUNTIFS('CPI Log'!$A$4:$A$1000,"&gt;="&amp;$C$3,'CPI Log'!$A$4:$A$1000,"&lt;="&amp;$E$3,'CPI Log'!$Z$4:$Z$1000,$A129,'CPI Log'!$V$4:$V$1000,"Partial retrace")+COUNTIFS('CPI Log'!$A$4:$A$1000,"&gt;="&amp;$C$3,'CPI Log'!$A$4:$A$1000,"&lt;="&amp;$E$3,'CPI Log'!$Z$4:$Z$1000,$A129,'CPI Log'!$V$4:$V$1000,"Stalled / chop")</f>
        <v/>
      </c>
      <c r="C129" s="43">
        <f>IFERROR((COUNTIFS('CPI Log'!$A$4:$A$1000,"&gt;="&amp;$C$3,'CPI Log'!$A$4:$A$1000,"&lt;="&amp;$E$3,'CPI Log'!$Z$4:$Z$1000,$A129,'CPI Log'!$V$4:$V$1000,"Continued"))/($B129),"–")</f>
        <v/>
      </c>
      <c r="D129" s="43">
        <f>IFERROR((COUNTIFS('CPI Log'!$A$4:$A$1000,"&gt;="&amp;$C$3,'CPI Log'!$A$4:$A$1000,"&lt;="&amp;$E$3,'CPI Log'!$Z$4:$Z$1000,$A129,'CPI Log'!$V$4:$V$1000,"Back to open"))/($B129),"–")</f>
        <v/>
      </c>
      <c r="E129" s="43">
        <f>IFERROR((COUNTIFS('CPI Log'!$A$4:$A$1000,"&gt;="&amp;$C$3,'CPI Log'!$A$4:$A$1000,"&lt;="&amp;$E$3,'CPI Log'!$Z$4:$Z$1000,$A129,'CPI Log'!$V$4:$V$1000,"Partial retrace"))/($B129),"–")</f>
        <v/>
      </c>
      <c r="F129" s="43">
        <f>IFERROR((COUNTIFS('CPI Log'!$A$4:$A$1000,"&gt;="&amp;$C$3,'CPI Log'!$A$4:$A$1000,"&lt;="&amp;$E$3,'CPI Log'!$Z$4:$Z$1000,$A129,'CPI Log'!$V$4:$V$1000,"Stalled / chop"))/($B129),"–")</f>
        <v/>
      </c>
    </row>
    <row r="132" ht="20" customHeight="1">
      <c r="A132" s="58" t="inlineStr">
        <is>
          <t>12 · ICT: conditions → what happened after the 1st minute?</t>
        </is>
      </c>
    </row>
    <row r="133" ht="26" customHeight="1">
      <c r="A133" s="39" t="inlineStr">
        <is>
          <t>A condition is useful when its % is clearly different from the 'All' column of table 1.</t>
        </is>
      </c>
    </row>
    <row r="134" ht="30" customHeight="1">
      <c r="A134" s="59" t="inlineStr">
        <is>
          <t>Condition</t>
        </is>
      </c>
      <c r="B134" s="60" t="inlineStr">
        <is>
          <t>n</t>
        </is>
      </c>
      <c r="C134" s="60" t="inlineStr">
        <is>
          <t>Continued</t>
        </is>
      </c>
      <c r="D134" s="60" t="inlineStr">
        <is>
          <t>Back to open</t>
        </is>
      </c>
      <c r="E134" s="60" t="inlineStr">
        <is>
          <t>Partial retrace</t>
        </is>
      </c>
      <c r="F134" s="60" t="inlineStr">
        <is>
          <t>Stalled / chop</t>
        </is>
      </c>
    </row>
    <row r="135">
      <c r="A135" s="42" t="inlineStr">
        <is>
          <t>Daily bias: Bullish</t>
        </is>
      </c>
      <c r="B135" s="45">
        <f>COUNTIFS('CPI Log'!$A$4:$A$1000,"&gt;="&amp;$C$3,'CPI Log'!$A$4:$A$1000,"&lt;="&amp;$E$3,'CPI Log'!$X$4:$X$1000,"Bullish",'CPI Log'!$V$4:$V$1000,"Continued")+COUNTIFS('CPI Log'!$A$4:$A$1000,"&gt;="&amp;$C$3,'CPI Log'!$A$4:$A$1000,"&lt;="&amp;$E$3,'CPI Log'!$X$4:$X$1000,"Bullish",'CPI Log'!$V$4:$V$1000,"Back to open")+COUNTIFS('CPI Log'!$A$4:$A$1000,"&gt;="&amp;$C$3,'CPI Log'!$A$4:$A$1000,"&lt;="&amp;$E$3,'CPI Log'!$X$4:$X$1000,"Bullish",'CPI Log'!$V$4:$V$1000,"Partial retrace")+COUNTIFS('CPI Log'!$A$4:$A$1000,"&gt;="&amp;$C$3,'CPI Log'!$A$4:$A$1000,"&lt;="&amp;$E$3,'CPI Log'!$X$4:$X$1000,"Bullish",'CPI Log'!$V$4:$V$1000,"Stalled / chop")</f>
        <v/>
      </c>
      <c r="C135" s="43">
        <f>IFERROR((COUNTIFS('CPI Log'!$A$4:$A$1000,"&gt;="&amp;$C$3,'CPI Log'!$A$4:$A$1000,"&lt;="&amp;$E$3,'CPI Log'!$X$4:$X$1000,"Bullish",'CPI Log'!$V$4:$V$1000,"Continued"))/($B135),"–")</f>
        <v/>
      </c>
      <c r="D135" s="43">
        <f>IFERROR((COUNTIFS('CPI Log'!$A$4:$A$1000,"&gt;="&amp;$C$3,'CPI Log'!$A$4:$A$1000,"&lt;="&amp;$E$3,'CPI Log'!$X$4:$X$1000,"Bullish",'CPI Log'!$V$4:$V$1000,"Back to open"))/($B135),"–")</f>
        <v/>
      </c>
      <c r="E135" s="43">
        <f>IFERROR((COUNTIFS('CPI Log'!$A$4:$A$1000,"&gt;="&amp;$C$3,'CPI Log'!$A$4:$A$1000,"&lt;="&amp;$E$3,'CPI Log'!$X$4:$X$1000,"Bullish",'CPI Log'!$V$4:$V$1000,"Partial retrace"))/($B135),"–")</f>
        <v/>
      </c>
      <c r="F135" s="43">
        <f>IFERROR((COUNTIFS('CPI Log'!$A$4:$A$1000,"&gt;="&amp;$C$3,'CPI Log'!$A$4:$A$1000,"&lt;="&amp;$E$3,'CPI Log'!$X$4:$X$1000,"Bullish",'CPI Log'!$V$4:$V$1000,"Stalled / chop"))/($B135),"–")</f>
        <v/>
      </c>
    </row>
    <row r="136">
      <c r="A136" s="42" t="inlineStr">
        <is>
          <t>Daily bias: Bearish</t>
        </is>
      </c>
      <c r="B136" s="45">
        <f>COUNTIFS('CPI Log'!$A$4:$A$1000,"&gt;="&amp;$C$3,'CPI Log'!$A$4:$A$1000,"&lt;="&amp;$E$3,'CPI Log'!$X$4:$X$1000,"Bearish",'CPI Log'!$V$4:$V$1000,"Continued")+COUNTIFS('CPI Log'!$A$4:$A$1000,"&gt;="&amp;$C$3,'CPI Log'!$A$4:$A$1000,"&lt;="&amp;$E$3,'CPI Log'!$X$4:$X$1000,"Bearish",'CPI Log'!$V$4:$V$1000,"Back to open")+COUNTIFS('CPI Log'!$A$4:$A$1000,"&gt;="&amp;$C$3,'CPI Log'!$A$4:$A$1000,"&lt;="&amp;$E$3,'CPI Log'!$X$4:$X$1000,"Bearish",'CPI Log'!$V$4:$V$1000,"Partial retrace")+COUNTIFS('CPI Log'!$A$4:$A$1000,"&gt;="&amp;$C$3,'CPI Log'!$A$4:$A$1000,"&lt;="&amp;$E$3,'CPI Log'!$X$4:$X$1000,"Bearish",'CPI Log'!$V$4:$V$1000,"Stalled / chop")</f>
        <v/>
      </c>
      <c r="C136" s="43">
        <f>IFERROR((COUNTIFS('CPI Log'!$A$4:$A$1000,"&gt;="&amp;$C$3,'CPI Log'!$A$4:$A$1000,"&lt;="&amp;$E$3,'CPI Log'!$X$4:$X$1000,"Bearish",'CPI Log'!$V$4:$V$1000,"Continued"))/($B136),"–")</f>
        <v/>
      </c>
      <c r="D136" s="43">
        <f>IFERROR((COUNTIFS('CPI Log'!$A$4:$A$1000,"&gt;="&amp;$C$3,'CPI Log'!$A$4:$A$1000,"&lt;="&amp;$E$3,'CPI Log'!$X$4:$X$1000,"Bearish",'CPI Log'!$V$4:$V$1000,"Back to open"))/($B136),"–")</f>
        <v/>
      </c>
      <c r="E136" s="43">
        <f>IFERROR((COUNTIFS('CPI Log'!$A$4:$A$1000,"&gt;="&amp;$C$3,'CPI Log'!$A$4:$A$1000,"&lt;="&amp;$E$3,'CPI Log'!$X$4:$X$1000,"Bearish",'CPI Log'!$V$4:$V$1000,"Partial retrace"))/($B136),"–")</f>
        <v/>
      </c>
      <c r="F136" s="43">
        <f>IFERROR((COUNTIFS('CPI Log'!$A$4:$A$1000,"&gt;="&amp;$C$3,'CPI Log'!$A$4:$A$1000,"&lt;="&amp;$E$3,'CPI Log'!$X$4:$X$1000,"Bearish",'CPI Log'!$V$4:$V$1000,"Stalled / chop"))/($B136),"–")</f>
        <v/>
      </c>
    </row>
    <row r="137">
      <c r="A137" s="42" t="inlineStr">
        <is>
          <t>Daily bias: No bias</t>
        </is>
      </c>
      <c r="B137" s="45">
        <f>COUNTIFS('CPI Log'!$A$4:$A$1000,"&gt;="&amp;$C$3,'CPI Log'!$A$4:$A$1000,"&lt;="&amp;$E$3,'CPI Log'!$X$4:$X$1000,"No bias",'CPI Log'!$V$4:$V$1000,"Continued")+COUNTIFS('CPI Log'!$A$4:$A$1000,"&gt;="&amp;$C$3,'CPI Log'!$A$4:$A$1000,"&lt;="&amp;$E$3,'CPI Log'!$X$4:$X$1000,"No bias",'CPI Log'!$V$4:$V$1000,"Back to open")+COUNTIFS('CPI Log'!$A$4:$A$1000,"&gt;="&amp;$C$3,'CPI Log'!$A$4:$A$1000,"&lt;="&amp;$E$3,'CPI Log'!$X$4:$X$1000,"No bias",'CPI Log'!$V$4:$V$1000,"Partial retrace")+COUNTIFS('CPI Log'!$A$4:$A$1000,"&gt;="&amp;$C$3,'CPI Log'!$A$4:$A$1000,"&lt;="&amp;$E$3,'CPI Log'!$X$4:$X$1000,"No bias",'CPI Log'!$V$4:$V$1000,"Stalled / chop")</f>
        <v/>
      </c>
      <c r="C137" s="43">
        <f>IFERROR((COUNTIFS('CPI Log'!$A$4:$A$1000,"&gt;="&amp;$C$3,'CPI Log'!$A$4:$A$1000,"&lt;="&amp;$E$3,'CPI Log'!$X$4:$X$1000,"No bias",'CPI Log'!$V$4:$V$1000,"Continued"))/($B137),"–")</f>
        <v/>
      </c>
      <c r="D137" s="43">
        <f>IFERROR((COUNTIFS('CPI Log'!$A$4:$A$1000,"&gt;="&amp;$C$3,'CPI Log'!$A$4:$A$1000,"&lt;="&amp;$E$3,'CPI Log'!$X$4:$X$1000,"No bias",'CPI Log'!$V$4:$V$1000,"Back to open"))/($B137),"–")</f>
        <v/>
      </c>
      <c r="E137" s="43">
        <f>IFERROR((COUNTIFS('CPI Log'!$A$4:$A$1000,"&gt;="&amp;$C$3,'CPI Log'!$A$4:$A$1000,"&lt;="&amp;$E$3,'CPI Log'!$X$4:$X$1000,"No bias",'CPI Log'!$V$4:$V$1000,"Partial retrace"))/($B137),"–")</f>
        <v/>
      </c>
      <c r="F137" s="43">
        <f>IFERROR((COUNTIFS('CPI Log'!$A$4:$A$1000,"&gt;="&amp;$C$3,'CPI Log'!$A$4:$A$1000,"&lt;="&amp;$E$3,'CPI Log'!$X$4:$X$1000,"No bias",'CPI Log'!$V$4:$V$1000,"Stalled / chop"))/($B137),"–")</f>
        <v/>
      </c>
    </row>
    <row r="138">
      <c r="A138" s="42" t="inlineStr">
        <is>
          <t>8:30 open above Midnight open</t>
        </is>
      </c>
      <c r="B138" s="45">
        <f>COUNTIFS('CPI Log'!$A$4:$A$1000,"&gt;="&amp;$C$3,'CPI Log'!$A$4:$A$1000,"&lt;="&amp;$E$3,'CPI Log'!$Y$4:$Y$1000,"Above (premium)",'CPI Log'!$V$4:$V$1000,"Continued")+COUNTIFS('CPI Log'!$A$4:$A$1000,"&gt;="&amp;$C$3,'CPI Log'!$A$4:$A$1000,"&lt;="&amp;$E$3,'CPI Log'!$Y$4:$Y$1000,"Above (premium)",'CPI Log'!$V$4:$V$1000,"Back to open")+COUNTIFS('CPI Log'!$A$4:$A$1000,"&gt;="&amp;$C$3,'CPI Log'!$A$4:$A$1000,"&lt;="&amp;$E$3,'CPI Log'!$Y$4:$Y$1000,"Above (premium)",'CPI Log'!$V$4:$V$1000,"Partial retrace")+COUNTIFS('CPI Log'!$A$4:$A$1000,"&gt;="&amp;$C$3,'CPI Log'!$A$4:$A$1000,"&lt;="&amp;$E$3,'CPI Log'!$Y$4:$Y$1000,"Above (premium)",'CPI Log'!$V$4:$V$1000,"Stalled / chop")</f>
        <v/>
      </c>
      <c r="C138" s="43">
        <f>IFERROR((COUNTIFS('CPI Log'!$A$4:$A$1000,"&gt;="&amp;$C$3,'CPI Log'!$A$4:$A$1000,"&lt;="&amp;$E$3,'CPI Log'!$Y$4:$Y$1000,"Above (premium)",'CPI Log'!$V$4:$V$1000,"Continued"))/($B138),"–")</f>
        <v/>
      </c>
      <c r="D138" s="43">
        <f>IFERROR((COUNTIFS('CPI Log'!$A$4:$A$1000,"&gt;="&amp;$C$3,'CPI Log'!$A$4:$A$1000,"&lt;="&amp;$E$3,'CPI Log'!$Y$4:$Y$1000,"Above (premium)",'CPI Log'!$V$4:$V$1000,"Back to open"))/($B138),"–")</f>
        <v/>
      </c>
      <c r="E138" s="43">
        <f>IFERROR((COUNTIFS('CPI Log'!$A$4:$A$1000,"&gt;="&amp;$C$3,'CPI Log'!$A$4:$A$1000,"&lt;="&amp;$E$3,'CPI Log'!$Y$4:$Y$1000,"Above (premium)",'CPI Log'!$V$4:$V$1000,"Partial retrace"))/($B138),"–")</f>
        <v/>
      </c>
      <c r="F138" s="43">
        <f>IFERROR((COUNTIFS('CPI Log'!$A$4:$A$1000,"&gt;="&amp;$C$3,'CPI Log'!$A$4:$A$1000,"&lt;="&amp;$E$3,'CPI Log'!$Y$4:$Y$1000,"Above (premium)",'CPI Log'!$V$4:$V$1000,"Stalled / chop"))/($B138),"–")</f>
        <v/>
      </c>
    </row>
    <row r="139">
      <c r="A139" s="42" t="inlineStr">
        <is>
          <t>8:30 open below Midnight open</t>
        </is>
      </c>
      <c r="B139" s="45">
        <f>COUNTIFS('CPI Log'!$A$4:$A$1000,"&gt;="&amp;$C$3,'CPI Log'!$A$4:$A$1000,"&lt;="&amp;$E$3,'CPI Log'!$Y$4:$Y$1000,"Below (discount)",'CPI Log'!$V$4:$V$1000,"Continued")+COUNTIFS('CPI Log'!$A$4:$A$1000,"&gt;="&amp;$C$3,'CPI Log'!$A$4:$A$1000,"&lt;="&amp;$E$3,'CPI Log'!$Y$4:$Y$1000,"Below (discount)",'CPI Log'!$V$4:$V$1000,"Back to open")+COUNTIFS('CPI Log'!$A$4:$A$1000,"&gt;="&amp;$C$3,'CPI Log'!$A$4:$A$1000,"&lt;="&amp;$E$3,'CPI Log'!$Y$4:$Y$1000,"Below (discount)",'CPI Log'!$V$4:$V$1000,"Partial retrace")+COUNTIFS('CPI Log'!$A$4:$A$1000,"&gt;="&amp;$C$3,'CPI Log'!$A$4:$A$1000,"&lt;="&amp;$E$3,'CPI Log'!$Y$4:$Y$1000,"Below (discount)",'CPI Log'!$V$4:$V$1000,"Stalled / chop")</f>
        <v/>
      </c>
      <c r="C139" s="43">
        <f>IFERROR((COUNTIFS('CPI Log'!$A$4:$A$1000,"&gt;="&amp;$C$3,'CPI Log'!$A$4:$A$1000,"&lt;="&amp;$E$3,'CPI Log'!$Y$4:$Y$1000,"Below (discount)",'CPI Log'!$V$4:$V$1000,"Continued"))/($B139),"–")</f>
        <v/>
      </c>
      <c r="D139" s="43">
        <f>IFERROR((COUNTIFS('CPI Log'!$A$4:$A$1000,"&gt;="&amp;$C$3,'CPI Log'!$A$4:$A$1000,"&lt;="&amp;$E$3,'CPI Log'!$Y$4:$Y$1000,"Below (discount)",'CPI Log'!$V$4:$V$1000,"Back to open"))/($B139),"–")</f>
        <v/>
      </c>
      <c r="E139" s="43">
        <f>IFERROR((COUNTIFS('CPI Log'!$A$4:$A$1000,"&gt;="&amp;$C$3,'CPI Log'!$A$4:$A$1000,"&lt;="&amp;$E$3,'CPI Log'!$Y$4:$Y$1000,"Below (discount)",'CPI Log'!$V$4:$V$1000,"Partial retrace"))/($B139),"–")</f>
        <v/>
      </c>
      <c r="F139" s="43">
        <f>IFERROR((COUNTIFS('CPI Log'!$A$4:$A$1000,"&gt;="&amp;$C$3,'CPI Log'!$A$4:$A$1000,"&lt;="&amp;$E$3,'CPI Log'!$Y$4:$Y$1000,"Below (discount)",'CPI Log'!$V$4:$V$1000,"Stalled / chop"))/($B139),"–")</f>
        <v/>
      </c>
    </row>
    <row r="140">
      <c r="A140" s="42" t="inlineStr">
        <is>
          <t>HTF PD array at extreme: No</t>
        </is>
      </c>
      <c r="B140" s="45">
        <f>COUNTIFS('CPI Log'!$A$4:$A$1000,"&gt;="&amp;$C$3,'CPI Log'!$A$4:$A$1000,"&lt;="&amp;$E$3,'CPI Log'!$AB$4:$AB$1000,"No",'CPI Log'!$V$4:$V$1000,"Continued")+COUNTIFS('CPI Log'!$A$4:$A$1000,"&gt;="&amp;$C$3,'CPI Log'!$A$4:$A$1000,"&lt;="&amp;$E$3,'CPI Log'!$AB$4:$AB$1000,"No",'CPI Log'!$V$4:$V$1000,"Back to open")+COUNTIFS('CPI Log'!$A$4:$A$1000,"&gt;="&amp;$C$3,'CPI Log'!$A$4:$A$1000,"&lt;="&amp;$E$3,'CPI Log'!$AB$4:$AB$1000,"No",'CPI Log'!$V$4:$V$1000,"Partial retrace")+COUNTIFS('CPI Log'!$A$4:$A$1000,"&gt;="&amp;$C$3,'CPI Log'!$A$4:$A$1000,"&lt;="&amp;$E$3,'CPI Log'!$AB$4:$AB$1000,"No",'CPI Log'!$V$4:$V$1000,"Stalled / chop")</f>
        <v/>
      </c>
      <c r="C140" s="43">
        <f>IFERROR((COUNTIFS('CPI Log'!$A$4:$A$1000,"&gt;="&amp;$C$3,'CPI Log'!$A$4:$A$1000,"&lt;="&amp;$E$3,'CPI Log'!$AB$4:$AB$1000,"No",'CPI Log'!$V$4:$V$1000,"Continued"))/($B140),"–")</f>
        <v/>
      </c>
      <c r="D140" s="43">
        <f>IFERROR((COUNTIFS('CPI Log'!$A$4:$A$1000,"&gt;="&amp;$C$3,'CPI Log'!$A$4:$A$1000,"&lt;="&amp;$E$3,'CPI Log'!$AB$4:$AB$1000,"No",'CPI Log'!$V$4:$V$1000,"Back to open"))/($B140),"–")</f>
        <v/>
      </c>
      <c r="E140" s="43">
        <f>IFERROR((COUNTIFS('CPI Log'!$A$4:$A$1000,"&gt;="&amp;$C$3,'CPI Log'!$A$4:$A$1000,"&lt;="&amp;$E$3,'CPI Log'!$AB$4:$AB$1000,"No",'CPI Log'!$V$4:$V$1000,"Partial retrace"))/($B140),"–")</f>
        <v/>
      </c>
      <c r="F140" s="43">
        <f>IFERROR((COUNTIFS('CPI Log'!$A$4:$A$1000,"&gt;="&amp;$C$3,'CPI Log'!$A$4:$A$1000,"&lt;="&amp;$E$3,'CPI Log'!$AB$4:$AB$1000,"No",'CPI Log'!$V$4:$V$1000,"Stalled / chop"))/($B140),"–")</f>
        <v/>
      </c>
    </row>
    <row r="141">
      <c r="A141" s="42" t="inlineStr">
        <is>
          <t>HTF PD array at extreme: FVG</t>
        </is>
      </c>
      <c r="B141" s="45">
        <f>COUNTIFS('CPI Log'!$A$4:$A$1000,"&gt;="&amp;$C$3,'CPI Log'!$A$4:$A$1000,"&lt;="&amp;$E$3,'CPI Log'!$AB$4:$AB$1000,"FVG",'CPI Log'!$V$4:$V$1000,"Continued")+COUNTIFS('CPI Log'!$A$4:$A$1000,"&gt;="&amp;$C$3,'CPI Log'!$A$4:$A$1000,"&lt;="&amp;$E$3,'CPI Log'!$AB$4:$AB$1000,"FVG",'CPI Log'!$V$4:$V$1000,"Back to open")+COUNTIFS('CPI Log'!$A$4:$A$1000,"&gt;="&amp;$C$3,'CPI Log'!$A$4:$A$1000,"&lt;="&amp;$E$3,'CPI Log'!$AB$4:$AB$1000,"FVG",'CPI Log'!$V$4:$V$1000,"Partial retrace")+COUNTIFS('CPI Log'!$A$4:$A$1000,"&gt;="&amp;$C$3,'CPI Log'!$A$4:$A$1000,"&lt;="&amp;$E$3,'CPI Log'!$AB$4:$AB$1000,"FVG",'CPI Log'!$V$4:$V$1000,"Stalled / chop")</f>
        <v/>
      </c>
      <c r="C141" s="43">
        <f>IFERROR((COUNTIFS('CPI Log'!$A$4:$A$1000,"&gt;="&amp;$C$3,'CPI Log'!$A$4:$A$1000,"&lt;="&amp;$E$3,'CPI Log'!$AB$4:$AB$1000,"FVG",'CPI Log'!$V$4:$V$1000,"Continued"))/($B141),"–")</f>
        <v/>
      </c>
      <c r="D141" s="43">
        <f>IFERROR((COUNTIFS('CPI Log'!$A$4:$A$1000,"&gt;="&amp;$C$3,'CPI Log'!$A$4:$A$1000,"&lt;="&amp;$E$3,'CPI Log'!$AB$4:$AB$1000,"FVG",'CPI Log'!$V$4:$V$1000,"Back to open"))/($B141),"–")</f>
        <v/>
      </c>
      <c r="E141" s="43">
        <f>IFERROR((COUNTIFS('CPI Log'!$A$4:$A$1000,"&gt;="&amp;$C$3,'CPI Log'!$A$4:$A$1000,"&lt;="&amp;$E$3,'CPI Log'!$AB$4:$AB$1000,"FVG",'CPI Log'!$V$4:$V$1000,"Partial retrace"))/($B141),"–")</f>
        <v/>
      </c>
      <c r="F141" s="43">
        <f>IFERROR((COUNTIFS('CPI Log'!$A$4:$A$1000,"&gt;="&amp;$C$3,'CPI Log'!$A$4:$A$1000,"&lt;="&amp;$E$3,'CPI Log'!$AB$4:$AB$1000,"FVG",'CPI Log'!$V$4:$V$1000,"Stalled / chop"))/($B141),"–")</f>
        <v/>
      </c>
    </row>
    <row r="142">
      <c r="A142" s="42" t="inlineStr">
        <is>
          <t>HTF PD array at extreme: Order block</t>
        </is>
      </c>
      <c r="B142" s="45">
        <f>COUNTIFS('CPI Log'!$A$4:$A$1000,"&gt;="&amp;$C$3,'CPI Log'!$A$4:$A$1000,"&lt;="&amp;$E$3,'CPI Log'!$AB$4:$AB$1000,"Order block",'CPI Log'!$V$4:$V$1000,"Continued")+COUNTIFS('CPI Log'!$A$4:$A$1000,"&gt;="&amp;$C$3,'CPI Log'!$A$4:$A$1000,"&lt;="&amp;$E$3,'CPI Log'!$AB$4:$AB$1000,"Order block",'CPI Log'!$V$4:$V$1000,"Back to open")+COUNTIFS('CPI Log'!$A$4:$A$1000,"&gt;="&amp;$C$3,'CPI Log'!$A$4:$A$1000,"&lt;="&amp;$E$3,'CPI Log'!$AB$4:$AB$1000,"Order block",'CPI Log'!$V$4:$V$1000,"Partial retrace")+COUNTIFS('CPI Log'!$A$4:$A$1000,"&gt;="&amp;$C$3,'CPI Log'!$A$4:$A$1000,"&lt;="&amp;$E$3,'CPI Log'!$AB$4:$AB$1000,"Order block",'CPI Log'!$V$4:$V$1000,"Stalled / chop")</f>
        <v/>
      </c>
      <c r="C142" s="43">
        <f>IFERROR((COUNTIFS('CPI Log'!$A$4:$A$1000,"&gt;="&amp;$C$3,'CPI Log'!$A$4:$A$1000,"&lt;="&amp;$E$3,'CPI Log'!$AB$4:$AB$1000,"Order block",'CPI Log'!$V$4:$V$1000,"Continued"))/($B142),"–")</f>
        <v/>
      </c>
      <c r="D142" s="43">
        <f>IFERROR((COUNTIFS('CPI Log'!$A$4:$A$1000,"&gt;="&amp;$C$3,'CPI Log'!$A$4:$A$1000,"&lt;="&amp;$E$3,'CPI Log'!$AB$4:$AB$1000,"Order block",'CPI Log'!$V$4:$V$1000,"Back to open"))/($B142),"–")</f>
        <v/>
      </c>
      <c r="E142" s="43">
        <f>IFERROR((COUNTIFS('CPI Log'!$A$4:$A$1000,"&gt;="&amp;$C$3,'CPI Log'!$A$4:$A$1000,"&lt;="&amp;$E$3,'CPI Log'!$AB$4:$AB$1000,"Order block",'CPI Log'!$V$4:$V$1000,"Partial retrace"))/($B142),"–")</f>
        <v/>
      </c>
      <c r="F142" s="43">
        <f>IFERROR((COUNTIFS('CPI Log'!$A$4:$A$1000,"&gt;="&amp;$C$3,'CPI Log'!$A$4:$A$1000,"&lt;="&amp;$E$3,'CPI Log'!$AB$4:$AB$1000,"Order block",'CPI Log'!$V$4:$V$1000,"Stalled / chop"))/($B142),"–")</f>
        <v/>
      </c>
    </row>
    <row r="143">
      <c r="A143" s="42" t="inlineStr">
        <is>
          <t>HTF PD array at extreme: Breaker</t>
        </is>
      </c>
      <c r="B143" s="45">
        <f>COUNTIFS('CPI Log'!$A$4:$A$1000,"&gt;="&amp;$C$3,'CPI Log'!$A$4:$A$1000,"&lt;="&amp;$E$3,'CPI Log'!$AB$4:$AB$1000,"Breaker",'CPI Log'!$V$4:$V$1000,"Continued")+COUNTIFS('CPI Log'!$A$4:$A$1000,"&gt;="&amp;$C$3,'CPI Log'!$A$4:$A$1000,"&lt;="&amp;$E$3,'CPI Log'!$AB$4:$AB$1000,"Breaker",'CPI Log'!$V$4:$V$1000,"Back to open")+COUNTIFS('CPI Log'!$A$4:$A$1000,"&gt;="&amp;$C$3,'CPI Log'!$A$4:$A$1000,"&lt;="&amp;$E$3,'CPI Log'!$AB$4:$AB$1000,"Breaker",'CPI Log'!$V$4:$V$1000,"Partial retrace")+COUNTIFS('CPI Log'!$A$4:$A$1000,"&gt;="&amp;$C$3,'CPI Log'!$A$4:$A$1000,"&lt;="&amp;$E$3,'CPI Log'!$AB$4:$AB$1000,"Breaker",'CPI Log'!$V$4:$V$1000,"Stalled / chop")</f>
        <v/>
      </c>
      <c r="C143" s="43">
        <f>IFERROR((COUNTIFS('CPI Log'!$A$4:$A$1000,"&gt;="&amp;$C$3,'CPI Log'!$A$4:$A$1000,"&lt;="&amp;$E$3,'CPI Log'!$AB$4:$AB$1000,"Breaker",'CPI Log'!$V$4:$V$1000,"Continued"))/($B143),"–")</f>
        <v/>
      </c>
      <c r="D143" s="43">
        <f>IFERROR((COUNTIFS('CPI Log'!$A$4:$A$1000,"&gt;="&amp;$C$3,'CPI Log'!$A$4:$A$1000,"&lt;="&amp;$E$3,'CPI Log'!$AB$4:$AB$1000,"Breaker",'CPI Log'!$V$4:$V$1000,"Back to open"))/($B143),"–")</f>
        <v/>
      </c>
      <c r="E143" s="43">
        <f>IFERROR((COUNTIFS('CPI Log'!$A$4:$A$1000,"&gt;="&amp;$C$3,'CPI Log'!$A$4:$A$1000,"&lt;="&amp;$E$3,'CPI Log'!$AB$4:$AB$1000,"Breaker",'CPI Log'!$V$4:$V$1000,"Partial retrace"))/($B143),"–")</f>
        <v/>
      </c>
      <c r="F143" s="43">
        <f>IFERROR((COUNTIFS('CPI Log'!$A$4:$A$1000,"&gt;="&amp;$C$3,'CPI Log'!$A$4:$A$1000,"&lt;="&amp;$E$3,'CPI Log'!$AB$4:$AB$1000,"Breaker",'CPI Log'!$V$4:$V$1000,"Stalled / chop"))/($B143),"–")</f>
        <v/>
      </c>
    </row>
    <row r="144">
      <c r="A144" s="42" t="inlineStr">
        <is>
          <t>HTF PD array at extreme: Other</t>
        </is>
      </c>
      <c r="B144" s="45">
        <f>COUNTIFS('CPI Log'!$A$4:$A$1000,"&gt;="&amp;$C$3,'CPI Log'!$A$4:$A$1000,"&lt;="&amp;$E$3,'CPI Log'!$AB$4:$AB$1000,"Other",'CPI Log'!$V$4:$V$1000,"Continued")+COUNTIFS('CPI Log'!$A$4:$A$1000,"&gt;="&amp;$C$3,'CPI Log'!$A$4:$A$1000,"&lt;="&amp;$E$3,'CPI Log'!$AB$4:$AB$1000,"Other",'CPI Log'!$V$4:$V$1000,"Back to open")+COUNTIFS('CPI Log'!$A$4:$A$1000,"&gt;="&amp;$C$3,'CPI Log'!$A$4:$A$1000,"&lt;="&amp;$E$3,'CPI Log'!$AB$4:$AB$1000,"Other",'CPI Log'!$V$4:$V$1000,"Partial retrace")+COUNTIFS('CPI Log'!$A$4:$A$1000,"&gt;="&amp;$C$3,'CPI Log'!$A$4:$A$1000,"&lt;="&amp;$E$3,'CPI Log'!$AB$4:$AB$1000,"Other",'CPI Log'!$V$4:$V$1000,"Stalled / chop")</f>
        <v/>
      </c>
      <c r="C144" s="43">
        <f>IFERROR((COUNTIFS('CPI Log'!$A$4:$A$1000,"&gt;="&amp;$C$3,'CPI Log'!$A$4:$A$1000,"&lt;="&amp;$E$3,'CPI Log'!$AB$4:$AB$1000,"Other",'CPI Log'!$V$4:$V$1000,"Continued"))/($B144),"–")</f>
        <v/>
      </c>
      <c r="D144" s="43">
        <f>IFERROR((COUNTIFS('CPI Log'!$A$4:$A$1000,"&gt;="&amp;$C$3,'CPI Log'!$A$4:$A$1000,"&lt;="&amp;$E$3,'CPI Log'!$AB$4:$AB$1000,"Other",'CPI Log'!$V$4:$V$1000,"Back to open"))/($B144),"–")</f>
        <v/>
      </c>
      <c r="E144" s="43">
        <f>IFERROR((COUNTIFS('CPI Log'!$A$4:$A$1000,"&gt;="&amp;$C$3,'CPI Log'!$A$4:$A$1000,"&lt;="&amp;$E$3,'CPI Log'!$AB$4:$AB$1000,"Other",'CPI Log'!$V$4:$V$1000,"Partial retrace"))/($B144),"–")</f>
        <v/>
      </c>
      <c r="F144" s="43">
        <f>IFERROR((COUNTIFS('CPI Log'!$A$4:$A$1000,"&gt;="&amp;$C$3,'CPI Log'!$A$4:$A$1000,"&lt;="&amp;$E$3,'CPI Log'!$AB$4:$AB$1000,"Other",'CPI Log'!$V$4:$V$1000,"Stalled / chop"))/($B144),"–")</f>
        <v/>
      </c>
    </row>
    <row r="145">
      <c r="A145" s="42" t="inlineStr">
        <is>
          <t>1m FVG: No FVG</t>
        </is>
      </c>
      <c r="B145" s="45">
        <f>COUNTIFS('CPI Log'!$A$4:$A$1000,"&gt;="&amp;$C$3,'CPI Log'!$A$4:$A$1000,"&lt;="&amp;$E$3,'CPI Log'!$AC$4:$AC$1000,"No FVG",'CPI Log'!$V$4:$V$1000,"Continued")+COUNTIFS('CPI Log'!$A$4:$A$1000,"&gt;="&amp;$C$3,'CPI Log'!$A$4:$A$1000,"&lt;="&amp;$E$3,'CPI Log'!$AC$4:$AC$1000,"No FVG",'CPI Log'!$V$4:$V$1000,"Back to open")+COUNTIFS('CPI Log'!$A$4:$A$1000,"&gt;="&amp;$C$3,'CPI Log'!$A$4:$A$1000,"&lt;="&amp;$E$3,'CPI Log'!$AC$4:$AC$1000,"No FVG",'CPI Log'!$V$4:$V$1000,"Partial retrace")+COUNTIFS('CPI Log'!$A$4:$A$1000,"&gt;="&amp;$C$3,'CPI Log'!$A$4:$A$1000,"&lt;="&amp;$E$3,'CPI Log'!$AC$4:$AC$1000,"No FVG",'CPI Log'!$V$4:$V$1000,"Stalled / chop")</f>
        <v/>
      </c>
      <c r="C145" s="43">
        <f>IFERROR((COUNTIFS('CPI Log'!$A$4:$A$1000,"&gt;="&amp;$C$3,'CPI Log'!$A$4:$A$1000,"&lt;="&amp;$E$3,'CPI Log'!$AC$4:$AC$1000,"No FVG",'CPI Log'!$V$4:$V$1000,"Continued"))/($B145),"–")</f>
        <v/>
      </c>
      <c r="D145" s="43">
        <f>IFERROR((COUNTIFS('CPI Log'!$A$4:$A$1000,"&gt;="&amp;$C$3,'CPI Log'!$A$4:$A$1000,"&lt;="&amp;$E$3,'CPI Log'!$AC$4:$AC$1000,"No FVG",'CPI Log'!$V$4:$V$1000,"Back to open"))/($B145),"–")</f>
        <v/>
      </c>
      <c r="E145" s="43">
        <f>IFERROR((COUNTIFS('CPI Log'!$A$4:$A$1000,"&gt;="&amp;$C$3,'CPI Log'!$A$4:$A$1000,"&lt;="&amp;$E$3,'CPI Log'!$AC$4:$AC$1000,"No FVG",'CPI Log'!$V$4:$V$1000,"Partial retrace"))/($B145),"–")</f>
        <v/>
      </c>
      <c r="F145" s="43">
        <f>IFERROR((COUNTIFS('CPI Log'!$A$4:$A$1000,"&gt;="&amp;$C$3,'CPI Log'!$A$4:$A$1000,"&lt;="&amp;$E$3,'CPI Log'!$AC$4:$AC$1000,"No FVG",'CPI Log'!$V$4:$V$1000,"Stalled / chop"))/($B145),"–")</f>
        <v/>
      </c>
    </row>
    <row r="146">
      <c r="A146" s="42" t="inlineStr">
        <is>
          <t>1m FVG: Never came back</t>
        </is>
      </c>
      <c r="B146" s="45">
        <f>COUNTIFS('CPI Log'!$A$4:$A$1000,"&gt;="&amp;$C$3,'CPI Log'!$A$4:$A$1000,"&lt;="&amp;$E$3,'CPI Log'!$AC$4:$AC$1000,"Never came back",'CPI Log'!$V$4:$V$1000,"Continued")+COUNTIFS('CPI Log'!$A$4:$A$1000,"&gt;="&amp;$C$3,'CPI Log'!$A$4:$A$1000,"&lt;="&amp;$E$3,'CPI Log'!$AC$4:$AC$1000,"Never came back",'CPI Log'!$V$4:$V$1000,"Back to open")+COUNTIFS('CPI Log'!$A$4:$A$1000,"&gt;="&amp;$C$3,'CPI Log'!$A$4:$A$1000,"&lt;="&amp;$E$3,'CPI Log'!$AC$4:$AC$1000,"Never came back",'CPI Log'!$V$4:$V$1000,"Partial retrace")+COUNTIFS('CPI Log'!$A$4:$A$1000,"&gt;="&amp;$C$3,'CPI Log'!$A$4:$A$1000,"&lt;="&amp;$E$3,'CPI Log'!$AC$4:$AC$1000,"Never came back",'CPI Log'!$V$4:$V$1000,"Stalled / chop")</f>
        <v/>
      </c>
      <c r="C146" s="43">
        <f>IFERROR((COUNTIFS('CPI Log'!$A$4:$A$1000,"&gt;="&amp;$C$3,'CPI Log'!$A$4:$A$1000,"&lt;="&amp;$E$3,'CPI Log'!$AC$4:$AC$1000,"Never came back",'CPI Log'!$V$4:$V$1000,"Continued"))/($B146),"–")</f>
        <v/>
      </c>
      <c r="D146" s="43">
        <f>IFERROR((COUNTIFS('CPI Log'!$A$4:$A$1000,"&gt;="&amp;$C$3,'CPI Log'!$A$4:$A$1000,"&lt;="&amp;$E$3,'CPI Log'!$AC$4:$AC$1000,"Never came back",'CPI Log'!$V$4:$V$1000,"Back to open"))/($B146),"–")</f>
        <v/>
      </c>
      <c r="E146" s="43">
        <f>IFERROR((COUNTIFS('CPI Log'!$A$4:$A$1000,"&gt;="&amp;$C$3,'CPI Log'!$A$4:$A$1000,"&lt;="&amp;$E$3,'CPI Log'!$AC$4:$AC$1000,"Never came back",'CPI Log'!$V$4:$V$1000,"Partial retrace"))/($B146),"–")</f>
        <v/>
      </c>
      <c r="F146" s="43">
        <f>IFERROR((COUNTIFS('CPI Log'!$A$4:$A$1000,"&gt;="&amp;$C$3,'CPI Log'!$A$4:$A$1000,"&lt;="&amp;$E$3,'CPI Log'!$AC$4:$AC$1000,"Never came back",'CPI Log'!$V$4:$V$1000,"Stalled / chop"))/($B146),"–")</f>
        <v/>
      </c>
    </row>
    <row r="147">
      <c r="A147" s="42" t="inlineStr">
        <is>
          <t>1m FVG: Came back &amp; held</t>
        </is>
      </c>
      <c r="B147" s="45">
        <f>COUNTIFS('CPI Log'!$A$4:$A$1000,"&gt;="&amp;$C$3,'CPI Log'!$A$4:$A$1000,"&lt;="&amp;$E$3,'CPI Log'!$AC$4:$AC$1000,"Came back &amp; held",'CPI Log'!$V$4:$V$1000,"Continued")+COUNTIFS('CPI Log'!$A$4:$A$1000,"&gt;="&amp;$C$3,'CPI Log'!$A$4:$A$1000,"&lt;="&amp;$E$3,'CPI Log'!$AC$4:$AC$1000,"Came back &amp; held",'CPI Log'!$V$4:$V$1000,"Back to open")+COUNTIFS('CPI Log'!$A$4:$A$1000,"&gt;="&amp;$C$3,'CPI Log'!$A$4:$A$1000,"&lt;="&amp;$E$3,'CPI Log'!$AC$4:$AC$1000,"Came back &amp; held",'CPI Log'!$V$4:$V$1000,"Partial retrace")+COUNTIFS('CPI Log'!$A$4:$A$1000,"&gt;="&amp;$C$3,'CPI Log'!$A$4:$A$1000,"&lt;="&amp;$E$3,'CPI Log'!$AC$4:$AC$1000,"Came back &amp; held",'CPI Log'!$V$4:$V$1000,"Stalled / chop")</f>
        <v/>
      </c>
      <c r="C147" s="43">
        <f>IFERROR((COUNTIFS('CPI Log'!$A$4:$A$1000,"&gt;="&amp;$C$3,'CPI Log'!$A$4:$A$1000,"&lt;="&amp;$E$3,'CPI Log'!$AC$4:$AC$1000,"Came back &amp; held",'CPI Log'!$V$4:$V$1000,"Continued"))/($B147),"–")</f>
        <v/>
      </c>
      <c r="D147" s="43">
        <f>IFERROR((COUNTIFS('CPI Log'!$A$4:$A$1000,"&gt;="&amp;$C$3,'CPI Log'!$A$4:$A$1000,"&lt;="&amp;$E$3,'CPI Log'!$AC$4:$AC$1000,"Came back &amp; held",'CPI Log'!$V$4:$V$1000,"Back to open"))/($B147),"–")</f>
        <v/>
      </c>
      <c r="E147" s="43">
        <f>IFERROR((COUNTIFS('CPI Log'!$A$4:$A$1000,"&gt;="&amp;$C$3,'CPI Log'!$A$4:$A$1000,"&lt;="&amp;$E$3,'CPI Log'!$AC$4:$AC$1000,"Came back &amp; held",'CPI Log'!$V$4:$V$1000,"Partial retrace"))/($B147),"–")</f>
        <v/>
      </c>
      <c r="F147" s="43">
        <f>IFERROR((COUNTIFS('CPI Log'!$A$4:$A$1000,"&gt;="&amp;$C$3,'CPI Log'!$A$4:$A$1000,"&lt;="&amp;$E$3,'CPI Log'!$AC$4:$AC$1000,"Came back &amp; held",'CPI Log'!$V$4:$V$1000,"Stalled / chop"))/($B147),"–")</f>
        <v/>
      </c>
    </row>
    <row r="148">
      <c r="A148" s="42" t="inlineStr">
        <is>
          <t>1m FVG: Came back &amp; failed (IFVG)</t>
        </is>
      </c>
      <c r="B148" s="45">
        <f>COUNTIFS('CPI Log'!$A$4:$A$1000,"&gt;="&amp;$C$3,'CPI Log'!$A$4:$A$1000,"&lt;="&amp;$E$3,'CPI Log'!$AC$4:$AC$1000,"Came back &amp; failed (IFVG)",'CPI Log'!$V$4:$V$1000,"Continued")+COUNTIFS('CPI Log'!$A$4:$A$1000,"&gt;="&amp;$C$3,'CPI Log'!$A$4:$A$1000,"&lt;="&amp;$E$3,'CPI Log'!$AC$4:$AC$1000,"Came back &amp; failed (IFVG)",'CPI Log'!$V$4:$V$1000,"Back to open")+COUNTIFS('CPI Log'!$A$4:$A$1000,"&gt;="&amp;$C$3,'CPI Log'!$A$4:$A$1000,"&lt;="&amp;$E$3,'CPI Log'!$AC$4:$AC$1000,"Came back &amp; failed (IFVG)",'CPI Log'!$V$4:$V$1000,"Partial retrace")+COUNTIFS('CPI Log'!$A$4:$A$1000,"&gt;="&amp;$C$3,'CPI Log'!$A$4:$A$1000,"&lt;="&amp;$E$3,'CPI Log'!$AC$4:$AC$1000,"Came back &amp; failed (IFVG)",'CPI Log'!$V$4:$V$1000,"Stalled / chop")</f>
        <v/>
      </c>
      <c r="C148" s="43">
        <f>IFERROR((COUNTIFS('CPI Log'!$A$4:$A$1000,"&gt;="&amp;$C$3,'CPI Log'!$A$4:$A$1000,"&lt;="&amp;$E$3,'CPI Log'!$AC$4:$AC$1000,"Came back &amp; failed (IFVG)",'CPI Log'!$V$4:$V$1000,"Continued"))/($B148),"–")</f>
        <v/>
      </c>
      <c r="D148" s="43">
        <f>IFERROR((COUNTIFS('CPI Log'!$A$4:$A$1000,"&gt;="&amp;$C$3,'CPI Log'!$A$4:$A$1000,"&lt;="&amp;$E$3,'CPI Log'!$AC$4:$AC$1000,"Came back &amp; failed (IFVG)",'CPI Log'!$V$4:$V$1000,"Back to open"))/($B148),"–")</f>
        <v/>
      </c>
      <c r="E148" s="43">
        <f>IFERROR((COUNTIFS('CPI Log'!$A$4:$A$1000,"&gt;="&amp;$C$3,'CPI Log'!$A$4:$A$1000,"&lt;="&amp;$E$3,'CPI Log'!$AC$4:$AC$1000,"Came back &amp; failed (IFVG)",'CPI Log'!$V$4:$V$1000,"Partial retrace"))/($B148),"–")</f>
        <v/>
      </c>
      <c r="F148" s="43">
        <f>IFERROR((COUNTIFS('CPI Log'!$A$4:$A$1000,"&gt;="&amp;$C$3,'CPI Log'!$A$4:$A$1000,"&lt;="&amp;$E$3,'CPI Log'!$AC$4:$AC$1000,"Came back &amp; failed (IFVG)",'CPI Log'!$V$4:$V$1000,"Stalled / chop"))/($B148),"–")</f>
        <v/>
      </c>
    </row>
    <row r="149">
      <c r="A149" s="42" t="inlineStr">
        <is>
          <t>SMT with ES: Yes</t>
        </is>
      </c>
      <c r="B149" s="45">
        <f>COUNTIFS('CPI Log'!$A$4:$A$1000,"&gt;="&amp;$C$3,'CPI Log'!$A$4:$A$1000,"&lt;="&amp;$E$3,'CPI Log'!$AD$4:$AD$1000,"Yes",'CPI Log'!$V$4:$V$1000,"Continued")+COUNTIFS('CPI Log'!$A$4:$A$1000,"&gt;="&amp;$C$3,'CPI Log'!$A$4:$A$1000,"&lt;="&amp;$E$3,'CPI Log'!$AD$4:$AD$1000,"Yes",'CPI Log'!$V$4:$V$1000,"Back to open")+COUNTIFS('CPI Log'!$A$4:$A$1000,"&gt;="&amp;$C$3,'CPI Log'!$A$4:$A$1000,"&lt;="&amp;$E$3,'CPI Log'!$AD$4:$AD$1000,"Yes",'CPI Log'!$V$4:$V$1000,"Partial retrace")+COUNTIFS('CPI Log'!$A$4:$A$1000,"&gt;="&amp;$C$3,'CPI Log'!$A$4:$A$1000,"&lt;="&amp;$E$3,'CPI Log'!$AD$4:$AD$1000,"Yes",'CPI Log'!$V$4:$V$1000,"Stalled / chop")</f>
        <v/>
      </c>
      <c r="C149" s="43">
        <f>IFERROR((COUNTIFS('CPI Log'!$A$4:$A$1000,"&gt;="&amp;$C$3,'CPI Log'!$A$4:$A$1000,"&lt;="&amp;$E$3,'CPI Log'!$AD$4:$AD$1000,"Yes",'CPI Log'!$V$4:$V$1000,"Continued"))/($B149),"–")</f>
        <v/>
      </c>
      <c r="D149" s="43">
        <f>IFERROR((COUNTIFS('CPI Log'!$A$4:$A$1000,"&gt;="&amp;$C$3,'CPI Log'!$A$4:$A$1000,"&lt;="&amp;$E$3,'CPI Log'!$AD$4:$AD$1000,"Yes",'CPI Log'!$V$4:$V$1000,"Back to open"))/($B149),"–")</f>
        <v/>
      </c>
      <c r="E149" s="43">
        <f>IFERROR((COUNTIFS('CPI Log'!$A$4:$A$1000,"&gt;="&amp;$C$3,'CPI Log'!$A$4:$A$1000,"&lt;="&amp;$E$3,'CPI Log'!$AD$4:$AD$1000,"Yes",'CPI Log'!$V$4:$V$1000,"Partial retrace"))/($B149),"–")</f>
        <v/>
      </c>
      <c r="F149" s="43">
        <f>IFERROR((COUNTIFS('CPI Log'!$A$4:$A$1000,"&gt;="&amp;$C$3,'CPI Log'!$A$4:$A$1000,"&lt;="&amp;$E$3,'CPI Log'!$AD$4:$AD$1000,"Yes",'CPI Log'!$V$4:$V$1000,"Stalled / chop"))/($B149),"–")</f>
        <v/>
      </c>
    </row>
    <row r="150">
      <c r="A150" s="42" t="inlineStr">
        <is>
          <t>SMT with ES: No</t>
        </is>
      </c>
      <c r="B150" s="45">
        <f>COUNTIFS('CPI Log'!$A$4:$A$1000,"&gt;="&amp;$C$3,'CPI Log'!$A$4:$A$1000,"&lt;="&amp;$E$3,'CPI Log'!$AD$4:$AD$1000,"No",'CPI Log'!$V$4:$V$1000,"Continued")+COUNTIFS('CPI Log'!$A$4:$A$1000,"&gt;="&amp;$C$3,'CPI Log'!$A$4:$A$1000,"&lt;="&amp;$E$3,'CPI Log'!$AD$4:$AD$1000,"No",'CPI Log'!$V$4:$V$1000,"Back to open")+COUNTIFS('CPI Log'!$A$4:$A$1000,"&gt;="&amp;$C$3,'CPI Log'!$A$4:$A$1000,"&lt;="&amp;$E$3,'CPI Log'!$AD$4:$AD$1000,"No",'CPI Log'!$V$4:$V$1000,"Partial retrace")+COUNTIFS('CPI Log'!$A$4:$A$1000,"&gt;="&amp;$C$3,'CPI Log'!$A$4:$A$1000,"&lt;="&amp;$E$3,'CPI Log'!$AD$4:$AD$1000,"No",'CPI Log'!$V$4:$V$1000,"Stalled / chop")</f>
        <v/>
      </c>
      <c r="C150" s="43">
        <f>IFERROR((COUNTIFS('CPI Log'!$A$4:$A$1000,"&gt;="&amp;$C$3,'CPI Log'!$A$4:$A$1000,"&lt;="&amp;$E$3,'CPI Log'!$AD$4:$AD$1000,"No",'CPI Log'!$V$4:$V$1000,"Continued"))/($B150),"–")</f>
        <v/>
      </c>
      <c r="D150" s="43">
        <f>IFERROR((COUNTIFS('CPI Log'!$A$4:$A$1000,"&gt;="&amp;$C$3,'CPI Log'!$A$4:$A$1000,"&lt;="&amp;$E$3,'CPI Log'!$AD$4:$AD$1000,"No",'CPI Log'!$V$4:$V$1000,"Back to open"))/($B150),"–")</f>
        <v/>
      </c>
      <c r="E150" s="43">
        <f>IFERROR((COUNTIFS('CPI Log'!$A$4:$A$1000,"&gt;="&amp;$C$3,'CPI Log'!$A$4:$A$1000,"&lt;="&amp;$E$3,'CPI Log'!$AD$4:$AD$1000,"No",'CPI Log'!$V$4:$V$1000,"Partial retrace"))/($B150),"–")</f>
        <v/>
      </c>
      <c r="F150" s="43">
        <f>IFERROR((COUNTIFS('CPI Log'!$A$4:$A$1000,"&gt;="&amp;$C$3,'CPI Log'!$A$4:$A$1000,"&lt;="&amp;$E$3,'CPI Log'!$AD$4:$AD$1000,"No",'CPI Log'!$V$4:$V$1000,"Stalled / chop"))/($B150),"–")</f>
        <v/>
      </c>
    </row>
    <row r="152" ht="30" customHeight="1">
      <c r="A152" s="59" t="inlineStr">
        <is>
          <t>Did the main move follow your daily bias?</t>
        </is>
      </c>
      <c r="B152" s="60" t="inlineStr">
        <is>
          <t>#</t>
        </is>
      </c>
      <c r="C152" s="60" t="inlineStr">
        <is>
          <t>%</t>
        </is>
      </c>
    </row>
    <row r="153">
      <c r="A153" s="42" t="inlineStr">
        <is>
          <t>Yes (Bullish → Up, Bearish → Down)</t>
        </is>
      </c>
      <c r="B153" s="46">
        <f>COUNTIFS('CPI Log'!$A$4:$A$1000,"&gt;="&amp;$C$3,'CPI Log'!$A$4:$A$1000,"&lt;="&amp;$E$3,'CPI Log'!$X$4:$X$1000,"Bullish",'CPI Log'!$E$4:$E$1000,"Up")+COUNTIFS('CPI Log'!$A$4:$A$1000,"&gt;="&amp;$C$3,'CPI Log'!$A$4:$A$1000,"&lt;="&amp;$E$3,'CPI Log'!$X$4:$X$1000,"Bearish",'CPI Log'!$E$4:$E$1000,"Down")</f>
        <v/>
      </c>
      <c r="C153" s="43">
        <f>IFERROR(B153/B$155,"–")</f>
        <v/>
      </c>
    </row>
    <row r="154">
      <c r="A154" s="42" t="inlineStr">
        <is>
          <t>No (went against the bias)</t>
        </is>
      </c>
      <c r="B154" s="46">
        <f>COUNTIFS('CPI Log'!$A$4:$A$1000,"&gt;="&amp;$C$3,'CPI Log'!$A$4:$A$1000,"&lt;="&amp;$E$3,'CPI Log'!$X$4:$X$1000,"Bullish",'CPI Log'!$E$4:$E$1000,"Down")+COUNTIFS('CPI Log'!$A$4:$A$1000,"&gt;="&amp;$C$3,'CPI Log'!$A$4:$A$1000,"&lt;="&amp;$E$3,'CPI Log'!$X$4:$X$1000,"Bearish",'CPI Log'!$E$4:$E$1000,"Up")</f>
        <v/>
      </c>
      <c r="C154" s="43">
        <f>IFERROR(B154/B$155,"–")</f>
        <v/>
      </c>
    </row>
    <row r="155">
      <c r="A155" s="44" t="inlineStr">
        <is>
          <t>n (days with a bias)</t>
        </is>
      </c>
      <c r="B155" s="45">
        <f>SUM(B153:B154)</f>
        <v/>
      </c>
    </row>
    <row r="158" ht="20" customHeight="1">
      <c r="A158" s="61" t="inlineStr">
        <is>
          <t>13 · Your setups (only rows with a Result in R)</t>
        </is>
      </c>
    </row>
    <row r="159" ht="26" customHeight="1">
      <c r="A159" s="39" t="inlineStr">
        <is>
          <t>Avg R = expectancy. A setup is worth trading when Avg R stays positive over a decent n (30+).</t>
        </is>
      </c>
    </row>
    <row r="160" ht="30" customHeight="1">
      <c r="A160" s="62" t="inlineStr">
        <is>
          <t>Setup</t>
        </is>
      </c>
      <c r="B160" s="63" t="inlineStr">
        <is>
          <t>Trades</t>
        </is>
      </c>
      <c r="C160" s="63" t="inlineStr">
        <is>
          <t>Wins (R &gt; 0)</t>
        </is>
      </c>
      <c r="D160" s="63" t="inlineStr">
        <is>
          <t>Win rate</t>
        </is>
      </c>
      <c r="E160" s="63" t="inlineStr">
        <is>
          <t>Avg R</t>
        </is>
      </c>
      <c r="F160" s="63" t="inlineStr">
        <is>
          <t>Total R</t>
        </is>
      </c>
    </row>
    <row r="161">
      <c r="A161" s="42" t="inlineStr">
        <is>
          <t>A Continuation</t>
        </is>
      </c>
      <c r="B161" s="46">
        <f>COUNTIFS('CPI Log'!$A$4:$A$1000,"&gt;="&amp;$C$3,'CPI Log'!$A$4:$A$1000,"&lt;="&amp;$E$3,'CPI Log'!$AE$4:$AE$1000,$A161,'CPI Log'!$AF$4:$AF$1000,"&gt;-1000")</f>
        <v/>
      </c>
      <c r="C161" s="46">
        <f>COUNTIFS('CPI Log'!$A$4:$A$1000,"&gt;="&amp;$C$3,'CPI Log'!$A$4:$A$1000,"&lt;="&amp;$E$3,'CPI Log'!$AE$4:$AE$1000,$A161,'CPI Log'!$AF$4:$AF$1000,"&gt;0")</f>
        <v/>
      </c>
      <c r="D161" s="43">
        <f>IFERROR(C161/B161,"–")</f>
        <v/>
      </c>
      <c r="E161" s="64">
        <f>IFERROR(AVERAGEIFS('CPI Log'!$AF$4:$AF$1000,'CPI Log'!$A$4:$A$1000,"&gt;="&amp;$C$3,'CPI Log'!$A$4:$A$1000,"&lt;="&amp;$E$3,'CPI Log'!$AE$4:$AE$1000,$A161,'CPI Log'!$AF$4:$AF$1000,"&gt;-1000"),"–")</f>
        <v/>
      </c>
      <c r="F161" s="64">
        <f>SUMIFS('CPI Log'!$AF$4:$AF$1000,'CPI Log'!$A$4:$A$1000,"&gt;="&amp;$C$3,'CPI Log'!$A$4:$A$1000,"&lt;="&amp;$E$3,'CPI Log'!$AE$4:$AE$1000,$A161)</f>
        <v/>
      </c>
    </row>
    <row r="162">
      <c r="A162" s="42" t="inlineStr">
        <is>
          <t>B Reversal</t>
        </is>
      </c>
      <c r="B162" s="46">
        <f>COUNTIFS('CPI Log'!$A$4:$A$1000,"&gt;="&amp;$C$3,'CPI Log'!$A$4:$A$1000,"&lt;="&amp;$E$3,'CPI Log'!$AE$4:$AE$1000,$A162,'CPI Log'!$AF$4:$AF$1000,"&gt;-1000")</f>
        <v/>
      </c>
      <c r="C162" s="46">
        <f>COUNTIFS('CPI Log'!$A$4:$A$1000,"&gt;="&amp;$C$3,'CPI Log'!$A$4:$A$1000,"&lt;="&amp;$E$3,'CPI Log'!$AE$4:$AE$1000,$A162,'CPI Log'!$AF$4:$AF$1000,"&gt;0")</f>
        <v/>
      </c>
      <c r="D162" s="43">
        <f>IFERROR(C162/B162,"–")</f>
        <v/>
      </c>
      <c r="E162" s="64">
        <f>IFERROR(AVERAGEIFS('CPI Log'!$AF$4:$AF$1000,'CPI Log'!$A$4:$A$1000,"&gt;="&amp;$C$3,'CPI Log'!$A$4:$A$1000,"&lt;="&amp;$E$3,'CPI Log'!$AE$4:$AE$1000,$A162,'CPI Log'!$AF$4:$AF$1000,"&gt;-1000"),"–")</f>
        <v/>
      </c>
      <c r="F162" s="64">
        <f>SUMIFS('CPI Log'!$AF$4:$AF$1000,'CPI Log'!$A$4:$A$1000,"&gt;="&amp;$C$3,'CPI Log'!$A$4:$A$1000,"&lt;="&amp;$E$3,'CPI Log'!$AE$4:$AE$1000,$A162)</f>
        <v/>
      </c>
    </row>
    <row r="163">
      <c r="A163" s="42" t="inlineStr">
        <is>
          <t>C Open sweep</t>
        </is>
      </c>
      <c r="B163" s="46">
        <f>COUNTIFS('CPI Log'!$A$4:$A$1000,"&gt;="&amp;$C$3,'CPI Log'!$A$4:$A$1000,"&lt;="&amp;$E$3,'CPI Log'!$AE$4:$AE$1000,$A163,'CPI Log'!$AF$4:$AF$1000,"&gt;-1000")</f>
        <v/>
      </c>
      <c r="C163" s="46">
        <f>COUNTIFS('CPI Log'!$A$4:$A$1000,"&gt;="&amp;$C$3,'CPI Log'!$A$4:$A$1000,"&lt;="&amp;$E$3,'CPI Log'!$AE$4:$AE$1000,$A163,'CPI Log'!$AF$4:$AF$1000,"&gt;0")</f>
        <v/>
      </c>
      <c r="D163" s="43">
        <f>IFERROR(C163/B163,"–")</f>
        <v/>
      </c>
      <c r="E163" s="64">
        <f>IFERROR(AVERAGEIFS('CPI Log'!$AF$4:$AF$1000,'CPI Log'!$A$4:$A$1000,"&gt;="&amp;$C$3,'CPI Log'!$A$4:$A$1000,"&lt;="&amp;$E$3,'CPI Log'!$AE$4:$AE$1000,$A163,'CPI Log'!$AF$4:$AF$1000,"&gt;-1000"),"–")</f>
        <v/>
      </c>
      <c r="F163" s="64">
        <f>SUMIFS('CPI Log'!$AF$4:$AF$1000,'CPI Log'!$A$4:$A$1000,"&gt;="&amp;$C$3,'CPI Log'!$A$4:$A$1000,"&lt;="&amp;$E$3,'CPI Log'!$AE$4:$AE$1000,$A163)</f>
        <v/>
      </c>
    </row>
    <row r="164">
      <c r="A164" s="42" t="inlineStr">
        <is>
          <t>D 9:30-11:00 raid</t>
        </is>
      </c>
      <c r="B164" s="46">
        <f>COUNTIFS('CPI Log'!$A$4:$A$1000,"&gt;="&amp;$C$3,'CPI Log'!$A$4:$A$1000,"&lt;="&amp;$E$3,'CPI Log'!$AE$4:$AE$1000,$A164,'CPI Log'!$AF$4:$AF$1000,"&gt;-1000")</f>
        <v/>
      </c>
      <c r="C164" s="46">
        <f>COUNTIFS('CPI Log'!$A$4:$A$1000,"&gt;="&amp;$C$3,'CPI Log'!$A$4:$A$1000,"&lt;="&amp;$E$3,'CPI Log'!$AE$4:$AE$1000,$A164,'CPI Log'!$AF$4:$AF$1000,"&gt;0")</f>
        <v/>
      </c>
      <c r="D164" s="43">
        <f>IFERROR(C164/B164,"–")</f>
        <v/>
      </c>
      <c r="E164" s="64">
        <f>IFERROR(AVERAGEIFS('CPI Log'!$AF$4:$AF$1000,'CPI Log'!$A$4:$A$1000,"&gt;="&amp;$C$3,'CPI Log'!$A$4:$A$1000,"&lt;="&amp;$E$3,'CPI Log'!$AE$4:$AE$1000,$A164,'CPI Log'!$AF$4:$AF$1000,"&gt;-1000"),"–")</f>
        <v/>
      </c>
      <c r="F164" s="64">
        <f>SUMIFS('CPI Log'!$AF$4:$AF$1000,'CPI Log'!$A$4:$A$1000,"&gt;="&amp;$C$3,'CPI Log'!$A$4:$A$1000,"&lt;="&amp;$E$3,'CPI Log'!$AE$4:$AE$1000,$A164)</f>
        <v/>
      </c>
    </row>
    <row r="165">
      <c r="A165" s="44" t="inlineStr">
        <is>
          <t>All setups</t>
        </is>
      </c>
      <c r="B165" s="45">
        <f>SUM(B161:B164)</f>
        <v/>
      </c>
      <c r="C165" s="45">
        <f>SUM(C161:C164)</f>
        <v/>
      </c>
      <c r="D165" s="65">
        <f>IFERROR(C165/B165,"–")</f>
        <v/>
      </c>
      <c r="E165" s="66">
        <f>IFERROR(F165/B165,"–")</f>
        <v/>
      </c>
      <c r="F165" s="66">
        <f>SUM(F161:F164)</f>
        <v/>
      </c>
    </row>
  </sheetData>
  <mergeCells count="25">
    <mergeCell ref="A159:G159"/>
    <mergeCell ref="A17:G17"/>
    <mergeCell ref="A122:G122"/>
    <mergeCell ref="A112:G112"/>
    <mergeCell ref="A68:G68"/>
    <mergeCell ref="A93:G93"/>
    <mergeCell ref="A40:G40"/>
    <mergeCell ref="A67:G67"/>
    <mergeCell ref="A31:G31"/>
    <mergeCell ref="A59:G59"/>
    <mergeCell ref="A60:G60"/>
    <mergeCell ref="A103:G103"/>
    <mergeCell ref="A1:G1"/>
    <mergeCell ref="A94:G94"/>
    <mergeCell ref="A132:G132"/>
    <mergeCell ref="A79:G79"/>
    <mergeCell ref="A6:G6"/>
    <mergeCell ref="A16:G16"/>
    <mergeCell ref="A7:G7"/>
    <mergeCell ref="A41:G41"/>
    <mergeCell ref="A133:G133"/>
    <mergeCell ref="A80:G80"/>
    <mergeCell ref="A158:G158"/>
    <mergeCell ref="A2:G2"/>
    <mergeCell ref="A104:G10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E8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78" customWidth="1" min="3" max="3"/>
    <col width="52" customWidth="1" min="4" max="4"/>
    <col width="22" customWidth="1" min="5" max="5"/>
  </cols>
  <sheetData>
    <row r="1" ht="26" customHeight="1">
      <c r="A1" s="67" t="inlineStr">
        <is>
          <t>HOW TO USE THIS CPI BACKTEST SHEET</t>
        </is>
      </c>
    </row>
    <row r="2">
      <c r="A2" s="36" t="inlineStr">
        <is>
          <t>Hover any header in the CPI Log tab to see the same definitions there.</t>
        </is>
      </c>
    </row>
    <row r="3" ht="20" customHeight="1">
      <c r="A3" s="68" t="inlineStr">
        <is>
          <t>QUICK START</t>
        </is>
      </c>
    </row>
    <row r="4" ht="31" customHeight="1">
      <c r="A4" s="69" t="n">
        <v>1</v>
      </c>
      <c r="B4" s="69" t="inlineStr">
        <is>
          <t>One row = one CPI</t>
        </is>
      </c>
      <c r="C4" s="70" t="inlineStr">
        <is>
          <t>Work left → right while you replay the day with TradingView Bar Replay. The columns follow the order things happen.</t>
        </is>
      </c>
    </row>
    <row r="5" ht="31" customHeight="1">
      <c r="A5" s="69" t="n">
        <v>2</v>
      </c>
      <c r="B5" s="69" t="inlineStr">
        <is>
          <t>New York time</t>
        </is>
      </c>
      <c r="C5" s="70" t="inlineStr">
        <is>
          <t>Set the TradingView chart timezone to New York (UTC-4/-5). CPI is always 8:30 NY time and every time window in this sheet uses NY time.</t>
        </is>
      </c>
    </row>
    <row r="6" ht="18" customHeight="1">
      <c r="A6" s="69" t="n">
        <v>3</v>
      </c>
      <c r="B6" s="69" t="inlineStr">
        <is>
          <t>White vs grey</t>
        </is>
      </c>
      <c r="C6" s="70" t="inlineStr">
        <is>
          <t>White cells: you fill them. Grey cells: automatic - don't type in them.</t>
        </is>
      </c>
    </row>
    <row r="7" ht="31" customHeight="1">
      <c r="A7" s="69" t="n">
        <v>4</v>
      </c>
      <c r="B7" s="69" t="inlineStr">
        <is>
          <t>Dropdowns &amp; numbers</t>
        </is>
      </c>
      <c r="C7" s="70" t="inlineStr">
        <is>
          <t>▼ = pick from the dropdown. Number columns take numbers only (instead of 'Same', type the number again).</t>
        </is>
      </c>
    </row>
    <row r="8" ht="31" customHeight="1">
      <c r="A8" s="69" t="n">
        <v>5</v>
      </c>
      <c r="B8" s="69" t="inlineStr">
        <is>
          <t>No hindsight</t>
        </is>
      </c>
      <c r="C8" s="70" t="inlineStr">
        <is>
          <t>Fill the ICT context (bias, levels to watch) at 8:29, BEFORE you play the release.</t>
        </is>
      </c>
    </row>
    <row r="9" ht="31" customHeight="1">
      <c r="A9" s="69" t="n">
        <v>6</v>
      </c>
      <c r="B9" s="69" t="inlineStr">
        <is>
          <t>Chart link</t>
        </is>
      </c>
      <c r="C9" s="70" t="inlineStr">
        <is>
          <t>For every row save a TradingView snapshot (camera icon → Copy link) in 'Chart link', so later you can see the day in one click.</t>
        </is>
      </c>
    </row>
    <row r="10" ht="31" customHeight="1">
      <c r="A10" s="69" t="n">
        <v>7</v>
      </c>
      <c r="B10" s="69" t="inlineStr">
        <is>
          <t>Stats</t>
        </is>
      </c>
      <c r="C10" s="70" t="inlineStr">
        <is>
          <t>The Stats tab updates by itself. To test only a period (e.g. 2023+), change the two dates at the top of Stats.</t>
        </is>
      </c>
    </row>
    <row r="12" ht="20" customHeight="1">
      <c r="A12" s="68" t="inlineStr">
        <is>
          <t>WORDS USED IN THIS SHEET</t>
        </is>
      </c>
    </row>
    <row r="13" ht="18" customHeight="1">
      <c r="A13" s="70" t="n"/>
      <c r="B13" s="69" t="inlineStr">
        <is>
          <t>8:30 open</t>
        </is>
      </c>
      <c r="C13" s="70" t="inlineStr">
        <is>
          <t>The open price of the 8:30:00 candle = the price at the moment CPI comes out.</t>
        </is>
      </c>
    </row>
    <row r="14" ht="44" customHeight="1">
      <c r="A14" s="70" t="n"/>
      <c r="B14" s="69" t="inlineStr">
        <is>
          <t>1-min candle</t>
        </is>
      </c>
      <c r="C14" s="70" t="inlineStr">
        <is>
          <t>The 8:30 one-minute candle (8:30:00-8:30:59). Its HIGH is buy-side liquidity (BSL), its LOW is sell-side liquidity (SSL). Your 'initial wick' high/low is inside this candle.</t>
        </is>
      </c>
    </row>
    <row r="15" ht="31" customHeight="1">
      <c r="A15" s="70" t="n"/>
      <c r="B15" s="69" t="inlineStr">
        <is>
          <t>Main side / Wick side</t>
        </is>
      </c>
      <c r="C15" s="70" t="inlineStr">
        <is>
          <t>Main side = the end of the 1-min candle in your Main Move direction (the HIGH when Main Move is Up). Wick side = the other end.</t>
        </is>
      </c>
    </row>
    <row r="16" ht="18" customHeight="1">
      <c r="A16" s="70" t="n"/>
      <c r="B16" s="69" t="inlineStr">
        <is>
          <t>Taken</t>
        </is>
      </c>
      <c r="C16" s="70" t="inlineStr">
        <is>
          <t>Price trades beyond the level, even by 1 tick. A sweep counts.</t>
        </is>
      </c>
    </row>
    <row r="17" ht="44" customHeight="1">
      <c r="A17" s="70" t="n"/>
      <c r="B17" s="69" t="inlineStr">
        <is>
          <t>Time windows (NY)</t>
        </is>
      </c>
      <c r="C17" s="70" t="inlineStr">
        <is>
          <t>0-15 sec = 8:30:00-8:30:14 · 15-30 sec = 8:30:15-8:30:29 · 30-60 sec = 8:30:30-8:30:59 · 1-5 min = 8:31:00-8:34:59 · 5-15 min = 8:35:00-8:44:59 · 15-60 min = 8:45:00-9:29:59 · 9:30-11:00 · 11:00-16:00 · Not by 16:00 = didn't happen that day.</t>
        </is>
      </c>
    </row>
    <row r="18" ht="70" customHeight="1">
      <c r="A18" s="70" t="n"/>
      <c r="B18" s="69" t="inlineStr">
        <is>
          <t>Deepest pullback %</t>
        </is>
      </c>
      <c r="C18" s="70" t="inlineStr">
        <is>
          <t>Put a Fib with 0 on the 1-min main-side extreme and 100 on the 8:30 open (tick 'Reverse' in the Fib settings if it's upside down). Record the deepest level price reached BEFORE it broke the 1-min main-side extreme; stop checking at 8:45. 0 = no pullback · 50 = half-way · 62-79 = OTE · 100 = back at the 8:30 open · 120 = 20% past it. Type 62, not 62%.</t>
        </is>
      </c>
    </row>
    <row r="19" ht="44" customHeight="1">
      <c r="A19" s="70" t="n"/>
      <c r="B19" s="69" t="inlineStr">
        <is>
          <t>Outcome (auto)</t>
        </is>
      </c>
      <c r="C19" s="70" t="inlineStr">
        <is>
          <t>Back to open = pullback reached 100 · Continued = main side taken by 8:45 (1-5 or 5-15 min) with pullback under 100 · Partial retrace = not taken by 8:45, pullback 50-99 · Stalled / chop = not taken by 8:45, pullback under 50.</t>
        </is>
      </c>
    </row>
    <row r="20" ht="31" customHeight="1">
      <c r="A20" s="70" t="n"/>
      <c r="B20" s="69" t="inlineStr">
        <is>
          <t>Candle close</t>
        </is>
      </c>
      <c r="C20" s="70" t="inlineStr">
        <is>
          <t>Split the candle's full range (wicks included) into 3 equal parts: which part did it close in? 1m = 8:30 candle · 5m = 8:30-8:34 · 15m = 8:30-8:44.</t>
        </is>
      </c>
    </row>
    <row r="21" ht="18" customHeight="1">
      <c r="A21" s="70" t="n"/>
      <c r="B21" s="69" t="inlineStr">
        <is>
          <t>Back to 8:30 open</t>
        </is>
      </c>
      <c r="C21" s="70" t="inlineStr">
        <is>
          <t>The first time price trades back at the 8:30 open after the main move started.</t>
        </is>
      </c>
    </row>
    <row r="22" ht="44" customHeight="1">
      <c r="A22" s="70" t="n"/>
      <c r="B22" s="69" t="inlineStr">
        <is>
          <t>At the open, price…</t>
        </is>
      </c>
      <c r="C22" s="70" t="inlineStr">
        <is>
          <t>Swept &amp; resumed = after touching the open it turned and made a new high/low in the main direction before taking the 1-min wick side · Broke through = it took the 1-min wick side first · Chopped around = neither by 16:00 · Never came back.</t>
        </is>
      </c>
    </row>
    <row r="23" ht="44" customHeight="1">
      <c r="A23" s="70" t="n"/>
      <c r="B23" s="69" t="inlineStr">
        <is>
          <t>CPI vs forecast</t>
        </is>
      </c>
      <c r="C23" s="70" t="inlineStr">
        <is>
          <t>ForexFactory history: CPI m/m and Core CPI m/m, actual vs forecast. Both higher (or one higher, one equal) = Hotter · both lower (or one lower, one equal) = Cooler · both equal = In line · one higher, one lower = Mixed.</t>
        </is>
      </c>
    </row>
    <row r="24" ht="57" customHeight="1">
      <c r="A24" s="70" t="n"/>
      <c r="B24" s="69" t="inlineStr">
        <is>
          <t>Liquidity levels</t>
        </is>
      </c>
      <c r="C24" s="70" t="inlineStr">
        <is>
          <t>Pre-news = high/low of 7:00-8:29 · London = 2:00-5:00 · Asia = 20:00-00:00 (evening before) · Prev day = yesterday's daily candle · Prev week = last week's candle. Pick the BIGGEST one taken: Prev week &gt; Prev day &gt; London &gt; Asia &gt; Pre-news. None = nothing taken.</t>
        </is>
      </c>
    </row>
    <row r="25" ht="31" customHeight="1">
      <c r="A25" s="70" t="n"/>
      <c r="B25" s="69" t="inlineStr">
        <is>
          <t>Midnight open</t>
        </is>
      </c>
      <c r="C25" s="70" t="inlineStr">
        <is>
          <t>Open of the 00:00 New York candle. 8:30 open above it = premium, below it = discount.</t>
        </is>
      </c>
    </row>
    <row r="26" ht="18" customHeight="1">
      <c r="A26" s="70" t="n"/>
      <c r="B26" s="69" t="inlineStr">
        <is>
          <t>HTF PD array</t>
        </is>
      </c>
      <c r="C26" s="70" t="inlineStr">
        <is>
          <t>Fair value gap, order block or breaker on 15m / 1H / 4H.</t>
        </is>
      </c>
    </row>
    <row r="27" ht="44" customHeight="1">
      <c r="A27" s="70" t="n"/>
      <c r="B27" s="69" t="inlineStr">
        <is>
          <t>1m FVG</t>
        </is>
      </c>
      <c r="C27" s="70" t="inlineStr">
        <is>
          <t>The first fair value gap the main move left on the 1m chart. Held = price came back into it and bounced with no 1m close beyond its far edge. Failed (IFVG) = a 1m candle closed beyond its far edge.</t>
        </is>
      </c>
    </row>
    <row r="28" ht="31" customHeight="1">
      <c r="A28" s="70" t="n"/>
      <c r="B28" s="69" t="inlineStr">
        <is>
          <t>SMT</t>
        </is>
      </c>
      <c r="C28" s="70" t="inlineStr">
        <is>
          <t>At the main-move extreme NQ made a new high/low and ES did not (or the other way round).</t>
        </is>
      </c>
    </row>
    <row r="29" ht="31" customHeight="1">
      <c r="A29" s="70" t="n"/>
      <c r="B29" s="69" t="inlineStr">
        <is>
          <t>R</t>
        </is>
      </c>
      <c r="C29" s="70" t="inlineStr">
        <is>
          <t>Result in multiples of your risk: +2 = made 2x the risk, -1 = full stop loss, 0 = breakeven.</t>
        </is>
      </c>
    </row>
    <row r="31" ht="20" customHeight="1">
      <c r="A31" s="68" t="inlineStr">
        <is>
          <t>COLUMN GUIDE  (the Example column is made up - it shows one complete row)</t>
        </is>
      </c>
    </row>
    <row r="32" ht="18" customHeight="1">
      <c r="A32" s="71" t="inlineStr">
        <is>
          <t>Col</t>
        </is>
      </c>
      <c r="B32" s="71" t="inlineStr">
        <is>
          <t>Column</t>
        </is>
      </c>
      <c r="C32" s="71" t="inlineStr">
        <is>
          <t>What it means</t>
        </is>
      </c>
      <c r="D32" s="71" t="inlineStr">
        <is>
          <t>How to fill</t>
        </is>
      </c>
      <c r="E32" s="71" t="inlineStr">
        <is>
          <t>Example</t>
        </is>
      </c>
    </row>
    <row r="33" ht="18" customHeight="1">
      <c r="A33" s="71" t="inlineStr">
        <is>
          <t>A</t>
        </is>
      </c>
      <c r="B33" s="71" t="inlineStr">
        <is>
          <t>CPI Release Date</t>
        </is>
      </c>
      <c r="C33" s="70" t="inlineStr">
        <is>
          <t>Day the CPI number came out (8:30 New York time).</t>
        </is>
      </c>
      <c r="D33" s="70" t="inlineStr">
        <is>
          <t>Type the date, e.g. 12 Aug 2026.</t>
        </is>
      </c>
      <c r="E33" s="70" t="inlineStr">
        <is>
          <t>(release date)</t>
        </is>
      </c>
    </row>
    <row r="34" ht="31" customHeight="1">
      <c r="A34" s="71" t="inlineStr">
        <is>
          <t>B</t>
        </is>
      </c>
      <c r="B34" s="71" t="inlineStr">
        <is>
          <t>Day</t>
        </is>
      </c>
      <c r="C34" s="70" t="inlineStr">
        <is>
          <t>Weekday of the release.</t>
        </is>
      </c>
      <c r="D34" s="72" t="inlineStr">
        <is>
          <t>Nothing - fills itself. (Old rows you paste keep the day you typed.)</t>
        </is>
      </c>
      <c r="E34" s="70" t="inlineStr">
        <is>
          <t>Wed (auto)</t>
        </is>
      </c>
    </row>
    <row r="35" ht="31" customHeight="1">
      <c r="A35" s="71" t="inlineStr">
        <is>
          <t>C</t>
        </is>
      </c>
      <c r="B35" s="71" t="inlineStr">
        <is>
          <t>Wick</t>
        </is>
      </c>
      <c r="C35" s="70" t="inlineStr">
        <is>
          <t>Direction of the first spike when the number hits (the quick move AGAINST the main move).</t>
        </is>
      </c>
      <c r="D35" s="70" t="inlineStr">
        <is>
          <t>▼ Up / Down, or No Wick if price went straight in the main direction.</t>
        </is>
      </c>
      <c r="E35" s="70" t="inlineStr">
        <is>
          <t>Down</t>
        </is>
      </c>
    </row>
    <row r="36" ht="18" customHeight="1">
      <c r="A36" s="71" t="inlineStr">
        <is>
          <t>D</t>
        </is>
      </c>
      <c r="B36" s="71" t="inlineStr">
        <is>
          <t>Wick pts</t>
        </is>
      </c>
      <c r="C36" s="70" t="inlineStr">
        <is>
          <t>Size of that first spike in points.</t>
        </is>
      </c>
      <c r="D36" s="70" t="inlineStr">
        <is>
          <t>Number. Leave empty if No Wick.</t>
        </is>
      </c>
      <c r="E36" s="70" t="n">
        <v>12</v>
      </c>
    </row>
    <row r="37" ht="31" customHeight="1">
      <c r="A37" s="71" t="inlineStr">
        <is>
          <t>E</t>
        </is>
      </c>
      <c r="B37" s="71" t="inlineStr">
        <is>
          <t>Main Move</t>
        </is>
      </c>
      <c r="C37" s="70" t="inlineStr">
        <is>
          <t>Direction price really went after the wick.</t>
        </is>
      </c>
      <c r="D37" s="70" t="inlineStr">
        <is>
          <t>▼ Up / Down. Most other columns are read relative to this.</t>
        </is>
      </c>
      <c r="E37" s="70" t="inlineStr">
        <is>
          <t>Up</t>
        </is>
      </c>
    </row>
    <row r="38" ht="31" customHeight="1">
      <c r="A38" s="71" t="inlineStr">
        <is>
          <t>F</t>
        </is>
      </c>
      <c r="B38" s="71" t="inlineStr">
        <is>
          <t>15sec move</t>
        </is>
      </c>
      <c r="C38" s="70" t="inlineStr">
        <is>
          <t>How far the main move went in the first 15 seconds (points) - keep your usual method.</t>
        </is>
      </c>
      <c r="D38" s="70" t="inlineStr">
        <is>
          <t>Number only. If nothing changed, type the same number again instead of 'Same' (text can't be averaged).</t>
        </is>
      </c>
      <c r="E38" s="70" t="n">
        <v>80</v>
      </c>
    </row>
    <row r="39" ht="31" customHeight="1">
      <c r="A39" s="71" t="inlineStr">
        <is>
          <t>G</t>
        </is>
      </c>
      <c r="B39" s="71" t="inlineStr">
        <is>
          <t>30sec move</t>
        </is>
      </c>
      <c r="C39" s="70" t="inlineStr">
        <is>
          <t>Same, for the first 30 seconds.</t>
        </is>
      </c>
      <c r="D39" s="70" t="inlineStr">
        <is>
          <t>Number only (no 'Same'). A move the other way is captured by 'Deepest pullback %'.</t>
        </is>
      </c>
      <c r="E39" s="70" t="n">
        <v>95</v>
      </c>
    </row>
    <row r="40" ht="18" customHeight="1">
      <c r="A40" s="71" t="inlineStr">
        <is>
          <t>H</t>
        </is>
      </c>
      <c r="B40" s="71" t="inlineStr">
        <is>
          <t>1min move</t>
        </is>
      </c>
      <c r="C40" s="70" t="inlineStr">
        <is>
          <t>Same, for the first minute.</t>
        </is>
      </c>
      <c r="D40" s="70" t="inlineStr">
        <is>
          <t>Number only (no 'Same').</t>
        </is>
      </c>
      <c r="E40" s="70" t="n">
        <v>110</v>
      </c>
    </row>
    <row r="41" ht="18" customHeight="1">
      <c r="A41" s="71" t="inlineStr">
        <is>
          <t>I</t>
        </is>
      </c>
      <c r="B41" s="71" t="inlineStr">
        <is>
          <t>Straddle</t>
        </is>
      </c>
      <c r="C41" s="70" t="inlineStr">
        <is>
          <t>Result of your straddle order.</t>
        </is>
      </c>
      <c r="D41" s="70" t="inlineStr">
        <is>
          <t>▼ TP / SL / BE / N/A.</t>
        </is>
      </c>
      <c r="E41" s="70" t="inlineStr">
        <is>
          <t>TP</t>
        </is>
      </c>
    </row>
    <row r="42" ht="18" customHeight="1">
      <c r="A42" s="71" t="inlineStr">
        <is>
          <t>J</t>
        </is>
      </c>
      <c r="B42" s="71" t="inlineStr">
        <is>
          <t>Scam Wick (15 sec before)</t>
        </is>
      </c>
      <c r="C42" s="70" t="inlineStr">
        <is>
          <t>Size of the fake move in the 15 seconds before the release (points).</t>
        </is>
      </c>
      <c r="D42" s="70" t="inlineStr">
        <is>
          <t>Number.</t>
        </is>
      </c>
      <c r="E42" s="70" t="n">
        <v>6</v>
      </c>
    </row>
    <row r="43" ht="18" customHeight="1">
      <c r="A43" s="71" t="inlineStr">
        <is>
          <t>K</t>
        </is>
      </c>
      <c r="B43" s="71" t="inlineStr">
        <is>
          <t>Notes</t>
        </is>
      </c>
      <c r="C43" s="70" t="inlineStr">
        <is>
          <t>Anything unusual: delayed release, FOMC week, other news at 8:30, crazy spread...</t>
        </is>
      </c>
      <c r="D43" s="70" t="inlineStr">
        <is>
          <t>Free text.</t>
        </is>
      </c>
      <c r="E43" s="70" t="inlineStr">
        <is>
          <t>EXAMPLE ONLY</t>
        </is>
      </c>
    </row>
    <row r="44" ht="44" customHeight="1">
      <c r="A44" s="73" t="inlineStr">
        <is>
          <t>L</t>
        </is>
      </c>
      <c r="B44" s="73" t="inlineStr">
        <is>
          <t>CPI vs forecast</t>
        </is>
      </c>
      <c r="C44" s="70" t="inlineStr">
        <is>
          <t>Was CPI hotter or cooler than expected? Compare CPI m/m and Core CPI m/m, actual vs forecast (ForexFactory history).</t>
        </is>
      </c>
      <c r="D44" s="70" t="inlineStr">
        <is>
          <t>▼ Hotter = both higher, or one higher + one equal · Cooler = both lower, or one lower + one equal · In line = both equal · Mixed = one higher, one lower.</t>
        </is>
      </c>
      <c r="E44" s="70" t="inlineStr">
        <is>
          <t>Cooler</t>
        </is>
      </c>
    </row>
    <row r="45" ht="31" customHeight="1">
      <c r="A45" s="73" t="inlineStr">
        <is>
          <t>M</t>
        </is>
      </c>
      <c r="B45" s="73" t="inlineStr">
        <is>
          <t>Move vs data (auto)</t>
        </is>
      </c>
      <c r="C45" s="70" t="inlineStr">
        <is>
          <t>Did NQ move the 'logical' way? Hot CPI usually = NQ down, cool CPI = NQ up.</t>
        </is>
      </c>
      <c r="D45" s="72" t="inlineStr">
        <is>
          <t>Nothing - auto: With data / Against data / Neutral data (in line or mixed).</t>
        </is>
      </c>
      <c r="E45" s="70" t="inlineStr">
        <is>
          <t>With data</t>
        </is>
      </c>
    </row>
    <row r="46" ht="31" customHeight="1">
      <c r="A46" s="74" t="inlineStr">
        <is>
          <t>N</t>
        </is>
      </c>
      <c r="B46" s="74" t="inlineStr">
        <is>
          <t>1m candle close</t>
        </is>
      </c>
      <c r="C46" s="70" t="inlineStr">
        <is>
          <t>Where the 8:30 one-minute candle closed inside its own range (wicks included).</t>
        </is>
      </c>
      <c r="D46" s="70" t="inlineStr">
        <is>
          <t>▼ Split the candle high-to-low into 3 equal parts: Top / Middle / Bottom third.</t>
        </is>
      </c>
      <c r="E46" s="70" t="inlineStr">
        <is>
          <t>Top</t>
        </is>
      </c>
    </row>
    <row r="47" ht="18" customHeight="1">
      <c r="A47" s="74" t="inlineStr">
        <is>
          <t>O</t>
        </is>
      </c>
      <c r="B47" s="74" t="inlineStr">
        <is>
          <t>5m candle close</t>
        </is>
      </c>
      <c r="C47" s="70" t="inlineStr">
        <is>
          <t>Where the 5-minute candle 8:30-8:34 closed inside its range.</t>
        </is>
      </c>
      <c r="D47" s="70" t="inlineStr">
        <is>
          <t>▼ Top / Middle / Bottom third.</t>
        </is>
      </c>
      <c r="E47" s="70" t="inlineStr">
        <is>
          <t>Top</t>
        </is>
      </c>
    </row>
    <row r="48" ht="18" customHeight="1">
      <c r="A48" s="74" t="inlineStr">
        <is>
          <t>P</t>
        </is>
      </c>
      <c r="B48" s="74" t="inlineStr">
        <is>
          <t>15m candle close</t>
        </is>
      </c>
      <c r="C48" s="70" t="inlineStr">
        <is>
          <t>Where the 15-minute candle 8:30-8:44 closed inside its range.</t>
        </is>
      </c>
      <c r="D48" s="70" t="inlineStr">
        <is>
          <t>▼ Top / Middle / Bottom third.</t>
        </is>
      </c>
      <c r="E48" s="70" t="inlineStr">
        <is>
          <t>Middle</t>
        </is>
      </c>
    </row>
    <row r="49" ht="31" customHeight="1">
      <c r="A49" s="75" t="inlineStr">
        <is>
          <t>Q</t>
        </is>
      </c>
      <c r="B49" s="75" t="inlineStr">
        <is>
          <t>1-min HIGH taken (BSL) – when?</t>
        </is>
      </c>
      <c r="C49" s="70" t="inlineStr">
        <is>
          <t>When price first traded above the HIGH of the 8:30 1-min candle (buy-side liquidity).</t>
        </is>
      </c>
      <c r="D49" s="70" t="inlineStr">
        <is>
          <t>▼ Time window in NY time. 'Not by 16:00' if it never happened that day.</t>
        </is>
      </c>
      <c r="E49" s="70" t="inlineStr">
        <is>
          <t>5-15 min</t>
        </is>
      </c>
    </row>
    <row r="50" ht="31" customHeight="1">
      <c r="A50" s="75" t="inlineStr">
        <is>
          <t>R</t>
        </is>
      </c>
      <c r="B50" s="75" t="inlineStr">
        <is>
          <t>1-min LOW taken (SSL) – when?</t>
        </is>
      </c>
      <c r="C50" s="70" t="inlineStr">
        <is>
          <t>When price first traded below the LOW of the 8:30 1-min candle (sell-side liquidity).</t>
        </is>
      </c>
      <c r="D50" s="70" t="inlineStr">
        <is>
          <t>▼ Time window in NY time. 'Not by 16:00' if it never happened that day.</t>
        </is>
      </c>
      <c r="E50" s="70" t="inlineStr">
        <is>
          <t>Not by 16:00</t>
        </is>
      </c>
    </row>
    <row r="51" ht="44" customHeight="1">
      <c r="A51" s="75" t="inlineStr">
        <is>
          <t>S</t>
        </is>
      </c>
      <c r="B51" s="75" t="inlineStr">
        <is>
          <t>Deepest pullback %</t>
        </is>
      </c>
      <c r="C51" s="70" t="inlineStr">
        <is>
          <t>How far price came back from the 1-min main-side extreme toward the 8:30 open, BEFORE it broke that extreme (stop checking at 8:45). 0 = no pullback · 50 = half-way · 62-79 = OTE · 100 = back at the 8:30 open · 120 = 20% past the open.</t>
        </is>
      </c>
      <c r="D51" s="70" t="inlineStr">
        <is>
          <t>Number only: 62, not 62%. Fib with 0 on the 1-min main-side extreme and 100 on the 8:30 open.</t>
        </is>
      </c>
      <c r="E51" s="70" t="n">
        <v>62</v>
      </c>
    </row>
    <row r="52" ht="31" customHeight="1">
      <c r="A52" s="75" t="inlineStr">
        <is>
          <t>T</t>
        </is>
      </c>
      <c r="B52" s="75" t="inlineStr">
        <is>
          <t>Back to 8:30 open – when?</t>
        </is>
      </c>
      <c r="C52" s="70" t="inlineStr">
        <is>
          <t>First time price traded back at the 8:30 open after the main move started.</t>
        </is>
      </c>
      <c r="D52" s="70" t="inlineStr">
        <is>
          <t>▼ Time window in NY time. 'Not by 16:00' if it never came back.</t>
        </is>
      </c>
      <c r="E52" s="70" t="inlineStr">
        <is>
          <t>15-60 min</t>
        </is>
      </c>
    </row>
    <row r="53" ht="57" customHeight="1">
      <c r="A53" s="75" t="inlineStr">
        <is>
          <t>U</t>
        </is>
      </c>
      <c r="B53" s="75" t="inlineStr">
        <is>
          <t>At the open, price…</t>
        </is>
      </c>
      <c r="C53" s="70" t="inlineStr">
        <is>
          <t>What price did once it came back to the 8:30 open - does it just grab the liquidity there and keep going?</t>
        </is>
      </c>
      <c r="D53" s="70" t="inlineStr">
        <is>
          <t>▼ Swept &amp; resumed = turned and made a new high/low in the main direction before taking the 1-min wick side · Broke through = took the 1-min wick side first · Chopped around = neither by 16:00 · Never came back.</t>
        </is>
      </c>
      <c r="E53" s="70" t="inlineStr">
        <is>
          <t>Swept &amp; resumed</t>
        </is>
      </c>
    </row>
    <row r="54" ht="83" customHeight="1">
      <c r="A54" s="75" t="inlineStr">
        <is>
          <t>V</t>
        </is>
      </c>
      <c r="B54" s="75" t="inlineStr">
        <is>
          <t>Outcome 8:31–8:45 (auto)</t>
        </is>
      </c>
      <c r="C54" s="70" t="inlineStr">
        <is>
          <t>What the main move did after the first minute.</t>
        </is>
      </c>
      <c r="D54" s="72" t="inlineStr">
        <is>
          <t>Nothing - auto from Main Move, Deepest pullback % and the main-side 'taken – when': Back to open = pullback reached 100 · Continued = main side taken by 8:45 (1-5 or 5-15 min) · Partial retrace = not taken by 8:45, pullback 50-99 · Stalled / chop = not taken by 8:45, pullback under 50.</t>
        </is>
      </c>
      <c r="E54" s="70" t="inlineStr">
        <is>
          <t>Continued</t>
        </is>
      </c>
    </row>
    <row r="55" ht="31" customHeight="1">
      <c r="A55" s="75" t="inlineStr">
        <is>
          <t>W</t>
        </is>
      </c>
      <c r="B55" s="75" t="inlineStr">
        <is>
          <t>First side taken (auto)</t>
        </is>
      </c>
      <c r="C55" s="70" t="inlineStr">
        <is>
          <t>Which end of the 1-min candle got taken first, and whether that was the main-move side or the wick side.</t>
        </is>
      </c>
      <c r="D55" s="72" t="inlineStr">
        <is>
          <t>Nothing - auto from the two 'taken – when' columns.</t>
        </is>
      </c>
      <c r="E55" s="70" t="inlineStr">
        <is>
          <t>High first (main side)</t>
        </is>
      </c>
    </row>
    <row r="56" ht="18" customHeight="1">
      <c r="A56" s="76" t="inlineStr">
        <is>
          <t>X</t>
        </is>
      </c>
      <c r="B56" s="76" t="inlineStr">
        <is>
          <t>Daily bias (before 8:30)</t>
        </is>
      </c>
      <c r="C56" s="70" t="inlineStr">
        <is>
          <t>Your higher-timeframe bias for the day, decided BEFORE you replay the release.</t>
        </is>
      </c>
      <c r="D56" s="70" t="inlineStr">
        <is>
          <t>▼ Bullish / Bearish / No bias.</t>
        </is>
      </c>
      <c r="E56" s="70" t="inlineStr">
        <is>
          <t>Bullish</t>
        </is>
      </c>
    </row>
    <row r="57" ht="31" customHeight="1">
      <c r="A57" s="76" t="inlineStr">
        <is>
          <t>Y</t>
        </is>
      </c>
      <c r="B57" s="76" t="inlineStr">
        <is>
          <t>8:30 open vs Midnight open</t>
        </is>
      </c>
      <c r="C57" s="70" t="inlineStr">
        <is>
          <t>Is the 8:30 open above the 00:00 New York opening price (premium) or below it (discount)?</t>
        </is>
      </c>
      <c r="D57" s="70" t="inlineStr">
        <is>
          <t>▼ Above (premium) / Below (discount).</t>
        </is>
      </c>
      <c r="E57" s="70" t="inlineStr">
        <is>
          <t>Below (discount)</t>
        </is>
      </c>
    </row>
    <row r="58" ht="31" customHeight="1">
      <c r="A58" s="76" t="inlineStr">
        <is>
          <t>Z</t>
        </is>
      </c>
      <c r="B58" s="76" t="inlineStr">
        <is>
          <t>Liquidity taken by wick</t>
        </is>
      </c>
      <c r="C58" s="70" t="inlineStr">
        <is>
          <t>Biggest liquidity level the first spike (wick) took.</t>
        </is>
      </c>
      <c r="D58" s="70" t="inlineStr">
        <is>
          <t>▼ The biggest one taken: Prev week &gt; Prev day &gt; London &gt; Asia &gt; Pre-news &gt; None.</t>
        </is>
      </c>
      <c r="E58" s="70" t="inlineStr">
        <is>
          <t>Pre-news high/low</t>
        </is>
      </c>
    </row>
    <row r="59" ht="31" customHeight="1">
      <c r="A59" s="76" t="inlineStr">
        <is>
          <t>AA</t>
        </is>
      </c>
      <c r="B59" s="76" t="inlineStr">
        <is>
          <t>Liquidity taken by main move (by 8:45)</t>
        </is>
      </c>
      <c r="C59" s="70" t="inlineStr">
        <is>
          <t>Biggest liquidity level the main move took by 8:45.</t>
        </is>
      </c>
      <c r="D59" s="70" t="inlineStr">
        <is>
          <t>▼ The biggest one taken: Prev week &gt; Prev day &gt; London &gt; Asia &gt; Pre-news &gt; None.</t>
        </is>
      </c>
      <c r="E59" s="70" t="inlineStr">
        <is>
          <t>London high/low</t>
        </is>
      </c>
    </row>
    <row r="60" ht="31" customHeight="1">
      <c r="A60" s="76" t="inlineStr">
        <is>
          <t>AB</t>
        </is>
      </c>
      <c r="B60" s="76" t="inlineStr">
        <is>
          <t>HTF PD array at extreme (optional)</t>
        </is>
      </c>
      <c r="C60" s="70" t="inlineStr">
        <is>
          <t>Did the main move's extreme (by 8:45) tap a 15m / 1H / 4H PD array?</t>
        </is>
      </c>
      <c r="D60" s="70" t="inlineStr">
        <is>
          <t>▼ No / FVG / Order block / Breaker / Other.</t>
        </is>
      </c>
      <c r="E60" s="70" t="inlineStr">
        <is>
          <t>FVG</t>
        </is>
      </c>
    </row>
    <row r="61" ht="44" customHeight="1">
      <c r="A61" s="76" t="inlineStr">
        <is>
          <t>AC</t>
        </is>
      </c>
      <c r="B61" s="76" t="inlineStr">
        <is>
          <t>1m FVG from main move</t>
        </is>
      </c>
      <c r="C61" s="70" t="inlineStr">
        <is>
          <t>The first 1m fair value gap the main move left - what happened the first time price came back to it?</t>
        </is>
      </c>
      <c r="D61" s="70" t="inlineStr">
        <is>
          <t>▼ No FVG · Never came back (by 16:00) · Came back &amp; held (no 1m close beyond its far edge) · Came back &amp; failed (IFVG = a 1m candle closed beyond its far edge).</t>
        </is>
      </c>
      <c r="E61" s="70" t="inlineStr">
        <is>
          <t>Came back &amp; held</t>
        </is>
      </c>
    </row>
    <row r="62" ht="31" customHeight="1">
      <c r="A62" s="76" t="inlineStr">
        <is>
          <t>AD</t>
        </is>
      </c>
      <c r="B62" s="76" t="inlineStr">
        <is>
          <t>SMT with ES (optional)</t>
        </is>
      </c>
      <c r="C62" s="70" t="inlineStr">
        <is>
          <t>At the main-move extreme, did NQ make a new high/low while ES didn't (or the other way round)?</t>
        </is>
      </c>
      <c r="D62" s="70" t="inlineStr">
        <is>
          <t>▼ Yes / No / Not checked.</t>
        </is>
      </c>
      <c r="E62" s="70" t="inlineStr">
        <is>
          <t>Not checked</t>
        </is>
      </c>
    </row>
    <row r="63" ht="31" customHeight="1">
      <c r="A63" s="77" t="inlineStr">
        <is>
          <t>AE</t>
        </is>
      </c>
      <c r="B63" s="77" t="inlineStr">
        <is>
          <t>Setup</t>
        </is>
      </c>
      <c r="C63" s="70" t="inlineStr">
        <is>
          <t>Which of your setups triggered, using fixed rules (see SETUPS TO TEST).</t>
        </is>
      </c>
      <c r="D63" s="70" t="inlineStr">
        <is>
          <t>▼ None / A Continuation / B Reversal / C Open sweep / D 9:30-11:00 raid.</t>
        </is>
      </c>
      <c r="E63" s="70" t="inlineStr">
        <is>
          <t>A Continuation</t>
        </is>
      </c>
    </row>
    <row r="64" ht="31" customHeight="1">
      <c r="A64" s="77" t="inlineStr">
        <is>
          <t>AF</t>
        </is>
      </c>
      <c r="B64" s="77" t="inlineStr">
        <is>
          <t>Result (R)</t>
        </is>
      </c>
      <c r="C64" s="70" t="inlineStr">
        <is>
          <t>Result of that setup in R (multiples of your risk).</t>
        </is>
      </c>
      <c r="D64" s="70" t="inlineStr">
        <is>
          <t>Number: 2 = +2R · -1 = full stop · 0 = breakeven. Leave empty if no setup.</t>
        </is>
      </c>
      <c r="E64" s="70" t="n">
        <v>2</v>
      </c>
    </row>
    <row r="65" ht="18" customHeight="1">
      <c r="A65" s="77" t="inlineStr">
        <is>
          <t>AG</t>
        </is>
      </c>
      <c r="B65" s="77" t="inlineStr">
        <is>
          <t>Chart link</t>
        </is>
      </c>
      <c r="C65" s="70" t="inlineStr">
        <is>
          <t>TradingView snapshot of the day, so you can see it again in one click.</t>
        </is>
      </c>
      <c r="D65" s="70" t="inlineStr">
        <is>
          <t>Camera icon → Copy link → paste here.</t>
        </is>
      </c>
      <c r="E65" s="70" t="inlineStr">
        <is>
          <t>tradingview.com/x/…</t>
        </is>
      </c>
    </row>
    <row r="67" ht="20" customHeight="1">
      <c r="A67" s="78" t="inlineStr">
        <is>
          <t>SETUPS TO TEST</t>
        </is>
      </c>
    </row>
    <row r="68" ht="44" customHeight="1">
      <c r="A68" s="70" t="n"/>
      <c r="B68" s="69" t="inlineStr">
        <is>
          <t>A Continuation</t>
        </is>
      </c>
      <c r="C68" s="70" t="inlineStr">
        <is>
          <t>Main move leaves a 1m FVG → enter on the first pullback into it (Stats table 6 shows how deep pullbacks usually go) → stop beyond the pullback's swing → target the 1-min main side, then the next liquidity.</t>
        </is>
      </c>
    </row>
    <row r="69" ht="44" customHeight="1">
      <c r="A69" s="70" t="n"/>
      <c r="B69" s="69" t="inlineStr">
        <is>
          <t>B Reversal</t>
        </is>
      </c>
      <c r="C69" s="70" t="inlineStr">
        <is>
          <t>Main move takes a key level (London / prev day) or taps an HTF PD array, ideally with SMT → 1m MSS back through the last swing + IFVG → enter on the retrace → stop beyond the extreme → target the 8:30 open, then the 1-min wick side.</t>
        </is>
      </c>
    </row>
    <row r="70" ht="31" customHeight="1">
      <c r="A70" s="70" t="n"/>
      <c r="B70" s="69" t="inlineStr">
        <is>
          <t>C Open sweep</t>
        </is>
      </c>
      <c r="C70" s="70" t="inlineStr">
        <is>
          <t>Price comes back to the 8:30 open, sweeps it, then shifts back in the main direction (1m MSS) → enter → stop beyond the sweep → target the 1-min main side.</t>
        </is>
      </c>
    </row>
    <row r="71" ht="31" customHeight="1">
      <c r="A71" s="70" t="n"/>
      <c r="B71" s="69" t="inlineStr">
        <is>
          <t>D 9:30-11:00 raid</t>
        </is>
      </c>
      <c r="C71" s="70" t="inlineStr">
        <is>
          <t>After 9:30 price takes one side of the 1-min candle, then MSS + FVG → enter → target the other side.</t>
        </is>
      </c>
    </row>
    <row r="72" ht="44" customHeight="1">
      <c r="A72" s="70" t="n"/>
      <c r="B72" s="69" t="inlineStr">
        <is>
          <t>Rules first</t>
        </is>
      </c>
      <c r="C72" s="70" t="inlineStr">
        <is>
          <t>Write exact entry / stop / target rules for each setup BEFORE you backtest and never change them mid-test. Log every trigger, winners and losers. No valid trigger = Setup 'None'.</t>
        </is>
      </c>
    </row>
    <row r="74" ht="20" customHeight="1">
      <c r="A74" s="79" t="inlineStr">
        <is>
          <t>REPLAY ROUTINE (ICT checklist) - the columns follow this order</t>
        </is>
      </c>
    </row>
    <row r="75" ht="18" customHeight="1">
      <c r="A75" s="69" t="n"/>
      <c r="B75" s="71" t="inlineStr">
        <is>
          <t>Step</t>
        </is>
      </c>
      <c r="C75" s="71" t="inlineStr">
        <is>
          <t>What to check</t>
        </is>
      </c>
      <c r="D75" s="71" t="inlineStr">
        <is>
          <t>Columns you fill</t>
        </is>
      </c>
    </row>
    <row r="76" ht="31" customHeight="1">
      <c r="A76" s="70" t="n"/>
      <c r="B76" s="69" t="inlineStr">
        <is>
          <t>1 · 8:29 (pause)</t>
        </is>
      </c>
      <c r="C76" s="70" t="inlineStr">
        <is>
          <t>Mark Asia, London and pre-news (7:00-8:29) highs/lows, previous day/week high/low, the Midnight open and any 15m/1H/4H FVG or order block near price.</t>
        </is>
      </c>
      <c r="D76" s="70" t="inlineStr">
        <is>
          <t>Daily bias · 8:30 open vs Midnight open</t>
        </is>
      </c>
    </row>
    <row r="77" ht="31" customHeight="1">
      <c r="A77" s="70" t="n"/>
      <c r="B77" s="69" t="inlineStr">
        <is>
          <t>2 · 8:30:00-8:30:59</t>
        </is>
      </c>
      <c r="C77" s="70" t="inlineStr">
        <is>
          <t>15s chart: first spike, main move, how far in 15s/30s/1m, straddle, scam wick. Which level did the wick take? Did the main move leave a 1m FVG?</t>
        </is>
      </c>
      <c r="D77" s="70" t="inlineStr">
        <is>
          <t>Your columns · Liquidity taken by wick</t>
        </is>
      </c>
    </row>
    <row r="78" ht="31" customHeight="1">
      <c r="A78" s="70" t="n"/>
      <c r="B78" s="69" t="inlineStr">
        <is>
          <t>3 · 8:31-8:45</t>
        </is>
      </c>
      <c r="C78" s="70" t="inlineStr">
        <is>
          <t>1m chart: candle closes, deepest pullback with the Fib, which level the main move took, PD array at the extreme, SMT with ES. Look up the CPI actual vs forecast.</t>
        </is>
      </c>
      <c r="D78" s="70" t="inlineStr">
        <is>
          <t>CPI vs forecast · Candle closes · Deepest pullback % · Liquidity by main move · PD array · SMT</t>
        </is>
      </c>
    </row>
    <row r="79" ht="31" customHeight="1">
      <c r="A79" s="70" t="n"/>
      <c r="B79" s="69" t="inlineStr">
        <is>
          <t>4 · until 16:00</t>
        </is>
      </c>
      <c r="C79" s="70" t="inlineStr">
        <is>
          <t>When the 1-min HIGH and LOW got taken, when price came back to the 8:30 open and what it did there, and what happened when price came back to the 1m FVG.</t>
        </is>
      </c>
      <c r="D79" s="70" t="inlineStr">
        <is>
          <t>HIGH/LOW taken · Back to open · At the open · 1m FVG</t>
        </is>
      </c>
    </row>
    <row r="80" ht="31" customHeight="1">
      <c r="A80" s="70" t="n"/>
      <c r="B80" s="69" t="inlineStr">
        <is>
          <t>5 · Review</t>
        </is>
      </c>
      <c r="C80" s="70" t="inlineStr">
        <is>
          <t>Did a setup trigger by your rules? Record it and the result in R, save the chart link, and check the grey auto columns make sense.</t>
        </is>
      </c>
      <c r="D80" s="70" t="inlineStr">
        <is>
          <t>Setup · Result (R) · Chart link</t>
        </is>
      </c>
    </row>
  </sheetData>
  <mergeCells count="7">
    <mergeCell ref="A12:E12"/>
    <mergeCell ref="A2:E2"/>
    <mergeCell ref="A1:E1"/>
    <mergeCell ref="A31:E31"/>
    <mergeCell ref="A74:E74"/>
    <mergeCell ref="A67:E67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2026-09-24T08:16:35Z</dcterms:created>
  <dcterms:modified xsi:type="dcterms:W3CDTF">2026-09-24T08:16:36Z</dcterms:modified>
</cp:coreProperties>
</file>